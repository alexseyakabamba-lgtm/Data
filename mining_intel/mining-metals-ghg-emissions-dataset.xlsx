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icmm2-my.sharepoint.com/personal/nic_benton_icmm_com/Documents/Microsoft Teams Chat Files/"/>
    </mc:Choice>
  </mc:AlternateContent>
  <xr:revisionPtr revIDLastSave="9" documentId="8_{EC28833C-BF9E-4A73-B930-968CC8B4E6A8}" xr6:coauthVersionLast="47" xr6:coauthVersionMax="47" xr10:uidLastSave="{6A579420-B8B6-4214-846D-0DF41EF7BC28}"/>
  <bookViews>
    <workbookView xWindow="-96" yWindow="-96" windowWidth="23232" windowHeight="13872" tabRatio="731" activeTab="1" xr2:uid="{00000000-000D-0000-FFFF-FFFF00000000}"/>
  </bookViews>
  <sheets>
    <sheet name="About" sheetId="323" r:id="rId1"/>
    <sheet name="Dataset" sheetId="310" r:id="rId2"/>
    <sheet name="Cross Sector Emissions" sheetId="322" r:id="rId3"/>
  </sheets>
  <externalReferences>
    <externalReference r:id="rId4"/>
  </externalReferences>
  <definedNames>
    <definedName name="__123Graph_A" hidden="1">[1]A!$R$18:$R$29</definedName>
    <definedName name="__123Graph_AChart1" hidden="1">[1]A!$R$18:$R$29</definedName>
    <definedName name="__123Graph_AChart2" hidden="1">[1]A!$R$18:$R$29</definedName>
    <definedName name="__123Graph_AChart3" hidden="1">#REF!</definedName>
    <definedName name="__123Graph_AChart4" hidden="1">#REF!</definedName>
    <definedName name="__123Graph_ACurrent" hidden="1">[1]A!$R$18:$R$29</definedName>
    <definedName name="__123Graph_ATHASIA92" hidden="1">#REF!</definedName>
    <definedName name="__123Graph_B" hidden="1">#REF!</definedName>
    <definedName name="__123Graph_BChart1" hidden="1">#REF!</definedName>
    <definedName name="__123Graph_BChart2" hidden="1">#REF!</definedName>
    <definedName name="__123Graph_BChart3" hidden="1">[1]A!$R$18:$R$29</definedName>
    <definedName name="__123Graph_BChart4" hidden="1">#REF!</definedName>
    <definedName name="__123Graph_BCurrent" hidden="1">#REF!</definedName>
    <definedName name="__123Graph_BTHASIA92" hidden="1">#REF!</definedName>
    <definedName name="__123Graph_CChart4" hidden="1">#REF!</definedName>
    <definedName name="__123Graph_DChart4" hidden="1">#REF!</definedName>
    <definedName name="__123Graph_X" hidden="1">#REF!</definedName>
    <definedName name="__123Graph_XChart1" hidden="1">#REF!</definedName>
    <definedName name="__123Graph_XChart2" hidden="1">#REF!</definedName>
    <definedName name="__123Graph_XChart3" hidden="1">#REF!</definedName>
    <definedName name="__123Graph_XChart4" hidden="1">#REF!</definedName>
    <definedName name="__123Graph_XCurrent" hidden="1">[1]A!$A$18:$A$29</definedName>
    <definedName name="__123Graph_XTHASIA92" hidden="1">#REF!</definedName>
    <definedName name="_1___123Graph_AChart_1A" hidden="1">#REF!</definedName>
    <definedName name="_10___123Graph_XChart_2A" hidden="1">#REF!</definedName>
    <definedName name="_11___123Graph_XChart_3A" hidden="1">#REF!</definedName>
    <definedName name="_12__123Graph_AChart_1A" hidden="1">#REF!</definedName>
    <definedName name="_13__123Graph_AChart_2A" hidden="1">#REF!</definedName>
    <definedName name="_14__123Graph_AChart_3A" hidden="1">#REF!</definedName>
    <definedName name="_15__123Graph_BChart_1A" hidden="1">#REF!</definedName>
    <definedName name="_16__123Graph_BChart_2A" hidden="1">#REF!</definedName>
    <definedName name="_17__123Graph_BChart_3A" hidden="1">#REF!</definedName>
    <definedName name="_18__123Graph_CChart_1A" hidden="1">#REF!</definedName>
    <definedName name="_19__123Graph_CChart_2A" hidden="1">#REF!</definedName>
    <definedName name="_2___123Graph_AChart_2A" hidden="1">#REF!</definedName>
    <definedName name="_20__123Graph_XChart_1A" hidden="1">#REF!</definedName>
    <definedName name="_21__123Graph_XChart_2A" hidden="1">#REF!</definedName>
    <definedName name="_22__123Graph_XChart_3A" hidden="1">#REF!</definedName>
    <definedName name="_3___123Graph_AChart_3A" hidden="1">#REF!</definedName>
    <definedName name="_4___123Graph_BChart_1A" hidden="1">#REF!</definedName>
    <definedName name="_5___123Graph_BChart_2A" hidden="1">#REF!</definedName>
    <definedName name="_6___123Graph_BChart_3A" hidden="1">#REF!</definedName>
    <definedName name="_7___123Graph_CChart_1A" hidden="1">[1]A!$D$67:$D$86</definedName>
    <definedName name="_8___123Graph_CChart_2A" hidden="1">#REF!</definedName>
    <definedName name="_9___123Graph_XChart_1A" hidden="1">#REF!</definedName>
    <definedName name="_Fill" hidden="1">#REF!</definedName>
    <definedName name="_xlnm._FilterDatabase" localSheetId="1" hidden="1">Dataset!#REF!</definedName>
    <definedName name="_Key1" hidden="1">#REF!</definedName>
    <definedName name="_old" hidden="1">#REF!</definedName>
    <definedName name="_Order1" hidden="1">255</definedName>
    <definedName name="_Sort" hidden="1">#REF!</definedName>
    <definedName name="_Table1_Out" hidden="1">#REF!</definedName>
    <definedName name="_Table2_Out" hidden="1">#REF!</definedName>
    <definedName name="AS2DocOpenMode" hidden="1">"AS2DocumentEdit"</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42416.2624768519</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legal" hidden="1">{#N/A,#N/A,FALSE,"Aging Summary";#N/A,#N/A,FALSE,"Ratio Analysis";#N/A,#N/A,FALSE,"Test 120 Day Accts";#N/A,#N/A,FALSE,"Tickmarks"}</definedName>
    <definedName name="PROF" hidden="1">{#N/A,#N/A,FALSE,"Aging Summary";#N/A,#N/A,FALSE,"Ratio Analysis";#N/A,#N/A,FALSE,"Test 120 Day Accts";#N/A,#N/A,FALSE,"Tickmarks"}</definedName>
    <definedName name="TextRefCopyRangeCount" hidden="1">2</definedName>
    <definedName name="wrn.Aging._.and._.Trend._.Analysis." hidden="1">{#N/A,#N/A,FALSE,"Aging Summary";#N/A,#N/A,FALSE,"Ratio Analysis";#N/A,#N/A,FALSE,"Test 120 Day Accts";#N/A,#N/A,FALSE,"Tickmarks"}</definedName>
    <definedName name="XREF_COLUMN_1" hidden="1">#REF!</definedName>
    <definedName name="XRefActiveRow" hidden="1">#REF!</definedName>
    <definedName name="XRefColumnsCount" hidden="1">3</definedName>
    <definedName name="XRefPaste1Row" hidden="1">#REF!</definedName>
    <definedName name="XRefPaste4Row" hidden="1">#REF!</definedName>
    <definedName name="XRefPasteRangeCount" hidden="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72" i="310" l="1"/>
  <c r="BJ276" i="310"/>
  <c r="BH264" i="310"/>
  <c r="AQ269" i="310"/>
  <c r="J7" i="322"/>
  <c r="D15" i="322"/>
  <c r="G9" i="322" s="1" a="1"/>
  <c r="G9" i="322" s="1"/>
  <c r="AB230" i="310"/>
  <c r="X226" i="310"/>
  <c r="E275" i="310"/>
  <c r="W275" i="310" s="1"/>
  <c r="BP275" i="310" s="1"/>
  <c r="N275" i="310"/>
  <c r="BG275" i="310"/>
  <c r="H275" i="310"/>
  <c r="Z275" i="310" s="1"/>
  <c r="BS275" i="310" s="1"/>
  <c r="Q275" i="310"/>
  <c r="F275" i="310"/>
  <c r="X275" i="310" s="1"/>
  <c r="BQ275" i="310" s="1"/>
  <c r="O275" i="310"/>
  <c r="G275" i="310"/>
  <c r="Y275" i="310" s="1"/>
  <c r="BR275" i="310" s="1"/>
  <c r="P275" i="310"/>
  <c r="I275" i="310"/>
  <c r="AA275" i="310" s="1"/>
  <c r="R275" i="310"/>
  <c r="J275" i="310"/>
  <c r="S275" i="310"/>
  <c r="AB275" i="310"/>
  <c r="E276" i="310"/>
  <c r="N276" i="310"/>
  <c r="W276" i="310" s="1"/>
  <c r="BG263" i="310"/>
  <c r="BH263" i="310"/>
  <c r="BI263" i="310"/>
  <c r="BJ263" i="310"/>
  <c r="BK263" i="310"/>
  <c r="BL263" i="310"/>
  <c r="BG264" i="310"/>
  <c r="BI264" i="310"/>
  <c r="BJ264" i="310"/>
  <c r="BK264" i="310"/>
  <c r="BL264" i="310"/>
  <c r="BG265" i="310"/>
  <c r="BH265" i="310"/>
  <c r="BI265" i="310"/>
  <c r="BJ265" i="310"/>
  <c r="BK265" i="310"/>
  <c r="BL265" i="310"/>
  <c r="BG268" i="310"/>
  <c r="BH268" i="310"/>
  <c r="BI268" i="310"/>
  <c r="BJ268" i="310"/>
  <c r="BK268" i="310"/>
  <c r="BL268" i="310"/>
  <c r="BG269" i="310"/>
  <c r="BH269" i="310"/>
  <c r="BI269" i="310"/>
  <c r="BJ269" i="310"/>
  <c r="BK269" i="310"/>
  <c r="BL269" i="310"/>
  <c r="BG271" i="310"/>
  <c r="BH271" i="310"/>
  <c r="BI271" i="310"/>
  <c r="BJ271" i="310"/>
  <c r="BK271" i="310"/>
  <c r="BL271" i="310"/>
  <c r="BG272" i="310"/>
  <c r="BH272" i="310"/>
  <c r="BI272" i="310"/>
  <c r="BJ272" i="310"/>
  <c r="BK272" i="310"/>
  <c r="BL272" i="310"/>
  <c r="BG274" i="310"/>
  <c r="BH274" i="310"/>
  <c r="BI274" i="310"/>
  <c r="BJ274" i="310"/>
  <c r="BK274" i="310"/>
  <c r="BL274" i="310"/>
  <c r="BG276" i="310"/>
  <c r="BH276" i="310"/>
  <c r="BI276" i="310"/>
  <c r="BK276" i="310"/>
  <c r="BL276" i="310"/>
  <c r="BG277" i="310"/>
  <c r="BH277" i="310"/>
  <c r="BI277" i="310"/>
  <c r="BJ277" i="310"/>
  <c r="BK277" i="310"/>
  <c r="BL277" i="310"/>
  <c r="BG278" i="310"/>
  <c r="BH278" i="310"/>
  <c r="BI278" i="310"/>
  <c r="BJ278" i="310"/>
  <c r="BK278" i="310"/>
  <c r="BL278" i="310"/>
  <c r="BH275" i="310"/>
  <c r="BI275" i="310"/>
  <c r="BJ275" i="310"/>
  <c r="BK275" i="310"/>
  <c r="BL275" i="310"/>
  <c r="BG279" i="310"/>
  <c r="BH279" i="310"/>
  <c r="BI279" i="310"/>
  <c r="BJ279" i="310"/>
  <c r="BK279" i="310"/>
  <c r="BL279" i="310"/>
  <c r="BG280" i="310"/>
  <c r="BH280" i="310"/>
  <c r="BI280" i="310"/>
  <c r="BJ280" i="310"/>
  <c r="BK280" i="310"/>
  <c r="BL280" i="310"/>
  <c r="BG281" i="310"/>
  <c r="BH281" i="310"/>
  <c r="BI281" i="310"/>
  <c r="BJ281" i="310"/>
  <c r="BK281" i="310"/>
  <c r="BL281" i="310"/>
  <c r="BG282" i="310"/>
  <c r="BH282" i="310"/>
  <c r="BI282" i="310"/>
  <c r="BJ282" i="310"/>
  <c r="BK282" i="310"/>
  <c r="BL282" i="310"/>
  <c r="BH262" i="310"/>
  <c r="BI262" i="310"/>
  <c r="BJ262" i="310"/>
  <c r="BK262" i="310"/>
  <c r="BL262" i="310"/>
  <c r="BG262" i="310"/>
  <c r="AM282" i="310"/>
  <c r="AM278" i="310"/>
  <c r="AM279" i="310"/>
  <c r="AM280" i="310"/>
  <c r="AM281" i="310"/>
  <c r="AM277" i="310"/>
  <c r="U248" i="310"/>
  <c r="U236" i="310"/>
  <c r="U224" i="310"/>
  <c r="U212" i="310"/>
  <c r="U164" i="310"/>
  <c r="U200" i="310"/>
  <c r="U188" i="310"/>
  <c r="U176" i="310"/>
  <c r="U152" i="310"/>
  <c r="U140" i="310"/>
  <c r="U128" i="310"/>
  <c r="U116" i="310"/>
  <c r="U104" i="310"/>
  <c r="AD260" i="310"/>
  <c r="U260" i="310"/>
  <c r="M294" i="310"/>
  <c r="M290" i="310"/>
  <c r="M286" i="310"/>
  <c r="L284" i="310"/>
  <c r="C284" i="310"/>
  <c r="D290" i="310"/>
  <c r="D294" i="310"/>
  <c r="D286" i="310"/>
  <c r="L260" i="310"/>
  <c r="C260" i="310"/>
  <c r="AB207" i="310"/>
  <c r="Y195" i="310"/>
  <c r="Z205" i="310"/>
  <c r="Z207" i="310"/>
  <c r="Y209" i="310"/>
  <c r="Z206" i="310"/>
  <c r="Y208" i="310"/>
  <c r="Y206" i="310"/>
  <c r="AB208" i="310"/>
  <c r="Y203" i="310"/>
  <c r="Z202" i="310"/>
  <c r="Y207" i="310"/>
  <c r="Z208" i="310"/>
  <c r="AB205" i="310"/>
  <c r="AB209" i="310"/>
  <c r="AB204" i="310"/>
  <c r="AB206" i="310"/>
  <c r="AB203" i="310"/>
  <c r="Y205" i="310"/>
  <c r="Y204" i="310"/>
  <c r="Y191" i="310"/>
  <c r="Z209" i="310"/>
  <c r="Z203" i="310"/>
  <c r="Y190" i="310"/>
  <c r="Y198" i="310" s="1"/>
  <c r="Y197" i="310"/>
  <c r="Z197" i="310"/>
  <c r="AB193" i="310"/>
  <c r="AB196" i="310"/>
  <c r="Z193" i="310"/>
  <c r="Y194" i="310"/>
  <c r="Y196" i="310"/>
  <c r="Y193" i="310"/>
  <c r="AB195" i="310"/>
  <c r="AB191" i="310"/>
  <c r="AB192" i="310"/>
  <c r="AB198" i="310" s="1"/>
  <c r="Z196" i="310"/>
  <c r="Z198" i="310" s="1"/>
  <c r="AB194" i="310"/>
  <c r="Z195" i="310"/>
  <c r="Z192" i="310"/>
  <c r="Z191" i="310"/>
  <c r="Y192" i="310"/>
  <c r="Z194" i="310"/>
  <c r="Q278" i="310"/>
  <c r="Z278" i="310" s="1"/>
  <c r="S278" i="310"/>
  <c r="P278" i="310"/>
  <c r="P277" i="310"/>
  <c r="S277" i="310"/>
  <c r="Q277" i="310"/>
  <c r="H278" i="310"/>
  <c r="G277" i="310"/>
  <c r="Y277" i="310" s="1"/>
  <c r="AB190" i="310"/>
  <c r="AB202" i="310"/>
  <c r="AB210" i="310"/>
  <c r="Z204" i="310"/>
  <c r="Z190" i="310"/>
  <c r="Y202" i="310"/>
  <c r="Y210" i="310" s="1"/>
  <c r="AB197" i="310"/>
  <c r="J278" i="310"/>
  <c r="G278" i="310"/>
  <c r="H277" i="310"/>
  <c r="Z277" i="310" s="1"/>
  <c r="J277" i="310"/>
  <c r="AB277" i="310" s="1"/>
  <c r="AB278" i="310"/>
  <c r="AT278" i="310" s="1"/>
  <c r="Z210" i="310"/>
  <c r="Y278" i="310"/>
  <c r="BR278" i="310" s="1"/>
  <c r="BU278" i="310"/>
  <c r="AQ278" i="310"/>
  <c r="W197" i="310"/>
  <c r="W205" i="310"/>
  <c r="W208" i="310"/>
  <c r="X205" i="310"/>
  <c r="X206" i="310"/>
  <c r="X192" i="310"/>
  <c r="X207" i="310"/>
  <c r="W207" i="310"/>
  <c r="X209" i="310"/>
  <c r="W204" i="310"/>
  <c r="W210" i="310" s="1"/>
  <c r="X208" i="310"/>
  <c r="X204" i="310"/>
  <c r="X191" i="310"/>
  <c r="W206" i="310"/>
  <c r="X203" i="310"/>
  <c r="W209" i="310"/>
  <c r="X197" i="310"/>
  <c r="W194" i="310"/>
  <c r="W192" i="310"/>
  <c r="X193" i="310"/>
  <c r="X195" i="310"/>
  <c r="X194" i="310"/>
  <c r="W195" i="310"/>
  <c r="W196" i="310"/>
  <c r="X196" i="310"/>
  <c r="W193" i="310"/>
  <c r="X202" i="310"/>
  <c r="X210" i="310" s="1"/>
  <c r="W202" i="310"/>
  <c r="O278" i="310"/>
  <c r="N278" i="310"/>
  <c r="O277" i="310"/>
  <c r="N277" i="310"/>
  <c r="X190" i="310"/>
  <c r="X198" i="310" s="1"/>
  <c r="W191" i="310"/>
  <c r="W190" i="310"/>
  <c r="W198" i="310" s="1"/>
  <c r="W203" i="310"/>
  <c r="F278" i="310"/>
  <c r="X278" i="310" s="1"/>
  <c r="E278" i="310"/>
  <c r="W278" i="310" s="1"/>
  <c r="F277" i="310"/>
  <c r="E277" i="310"/>
  <c r="W277" i="310" s="1"/>
  <c r="X277" i="310"/>
  <c r="AP277" i="310" s="1"/>
  <c r="X13" i="310"/>
  <c r="Z134" i="310"/>
  <c r="AB239" i="310"/>
  <c r="Z70" i="310"/>
  <c r="Y65" i="310"/>
  <c r="Z16" i="310"/>
  <c r="AB84" i="310"/>
  <c r="Z230" i="310"/>
  <c r="Z73" i="310"/>
  <c r="Y168" i="310"/>
  <c r="X242" i="310"/>
  <c r="Y64" i="310"/>
  <c r="AB51" i="310"/>
  <c r="Y16" i="310"/>
  <c r="Z27" i="310"/>
  <c r="Z232" i="310"/>
  <c r="Z145" i="310"/>
  <c r="AB253" i="310"/>
  <c r="Y10" i="310"/>
  <c r="X49" i="310"/>
  <c r="AA251" i="310"/>
  <c r="Y11" i="310"/>
  <c r="Y15" i="310"/>
  <c r="Z135" i="310"/>
  <c r="AB123" i="310"/>
  <c r="W173" i="310"/>
  <c r="AA240" i="310"/>
  <c r="W63" i="310"/>
  <c r="W221" i="310"/>
  <c r="X251" i="310"/>
  <c r="W229" i="310"/>
  <c r="AB149" i="310"/>
  <c r="X62" i="310"/>
  <c r="AB257" i="310"/>
  <c r="Y83" i="310"/>
  <c r="Y12" i="310"/>
  <c r="Y130" i="310"/>
  <c r="AB245" i="310"/>
  <c r="Y171" i="310"/>
  <c r="Y183" i="310"/>
  <c r="W89" i="310"/>
  <c r="AA239" i="310"/>
  <c r="Y24" i="310"/>
  <c r="Y119" i="310"/>
  <c r="W99" i="310"/>
  <c r="Y137" i="310"/>
  <c r="X29" i="310"/>
  <c r="AB96" i="310"/>
  <c r="AB130" i="310"/>
  <c r="AB231" i="310"/>
  <c r="W143" i="310"/>
  <c r="X110" i="310"/>
  <c r="AB215" i="310"/>
  <c r="AB95" i="310"/>
  <c r="X255" i="310"/>
  <c r="Y159" i="310"/>
  <c r="X82" i="310"/>
  <c r="AA227" i="310"/>
  <c r="AB25" i="310"/>
  <c r="X96" i="310"/>
  <c r="Z185" i="310"/>
  <c r="W134" i="310"/>
  <c r="W180" i="310"/>
  <c r="AB221" i="310"/>
  <c r="Y179" i="310"/>
  <c r="Y27" i="310"/>
  <c r="AB217" i="310"/>
  <c r="X252" i="310"/>
  <c r="AB75" i="310"/>
  <c r="X61" i="310"/>
  <c r="X240" i="310"/>
  <c r="X131" i="310"/>
  <c r="W243" i="310"/>
  <c r="AB83" i="310"/>
  <c r="W36" i="310"/>
  <c r="W61" i="310"/>
  <c r="W157" i="310"/>
  <c r="W245" i="310"/>
  <c r="X97" i="310"/>
  <c r="X231" i="310"/>
  <c r="Z173" i="310"/>
  <c r="W35" i="310"/>
  <c r="W144" i="310"/>
  <c r="AB137" i="310"/>
  <c r="Z95" i="310"/>
  <c r="Z159" i="310"/>
  <c r="Z160" i="310"/>
  <c r="Z51" i="310"/>
  <c r="Y132" i="310"/>
  <c r="X161" i="310"/>
  <c r="X51" i="310"/>
  <c r="AB113" i="310"/>
  <c r="W27" i="310"/>
  <c r="Z25" i="310"/>
  <c r="Z148" i="310"/>
  <c r="W239" i="310"/>
  <c r="Y228" i="310"/>
  <c r="X143" i="310"/>
  <c r="AB156" i="310"/>
  <c r="X160" i="310"/>
  <c r="AA228" i="310"/>
  <c r="Y99" i="310"/>
  <c r="X16" i="310"/>
  <c r="Z110" i="310"/>
  <c r="AB124" i="310"/>
  <c r="Y47" i="310"/>
  <c r="Y157" i="310"/>
  <c r="AB24" i="310"/>
  <c r="Y239" i="310"/>
  <c r="Y254" i="310"/>
  <c r="Z156" i="310"/>
  <c r="W23" i="310"/>
  <c r="Y134" i="310"/>
  <c r="AB144" i="310"/>
  <c r="Z64" i="310"/>
  <c r="Y217" i="310"/>
  <c r="X48" i="310"/>
  <c r="W24" i="310"/>
  <c r="AB172" i="310"/>
  <c r="W252" i="310"/>
  <c r="Y169" i="310"/>
  <c r="Y61" i="310"/>
  <c r="AB219" i="310"/>
  <c r="X125" i="310"/>
  <c r="AB169" i="310"/>
  <c r="X60" i="310"/>
  <c r="AB98" i="310"/>
  <c r="AB255" i="310"/>
  <c r="Y145" i="310"/>
  <c r="AB132" i="310"/>
  <c r="X243" i="310"/>
  <c r="X65" i="310"/>
  <c r="AB168" i="310"/>
  <c r="Y256" i="310"/>
  <c r="W40" i="310"/>
  <c r="W220" i="310"/>
  <c r="Z226" i="310"/>
  <c r="X52" i="310"/>
  <c r="Z251" i="310"/>
  <c r="X87" i="310"/>
  <c r="W231" i="310"/>
  <c r="X154" i="310"/>
  <c r="Z98" i="310"/>
  <c r="X73" i="310"/>
  <c r="X180" i="310"/>
  <c r="W60" i="310"/>
  <c r="AB122" i="310"/>
  <c r="AB101" i="310"/>
  <c r="Z242" i="310"/>
  <c r="X25" i="310"/>
  <c r="Y96" i="310"/>
  <c r="W218" i="310"/>
  <c r="Y37" i="310"/>
  <c r="AB86" i="310"/>
  <c r="X148" i="310"/>
  <c r="Z168" i="310"/>
  <c r="AB37" i="310"/>
  <c r="Z63" i="310"/>
  <c r="W166" i="310"/>
  <c r="X239" i="310"/>
  <c r="W49" i="310"/>
  <c r="AB60" i="310"/>
  <c r="X83" i="310"/>
  <c r="AB256" i="310"/>
  <c r="Z253" i="310"/>
  <c r="Z96" i="310"/>
  <c r="W82" i="310"/>
  <c r="Z257" i="310"/>
  <c r="AB97" i="310"/>
  <c r="AB242" i="310"/>
  <c r="AB232" i="310"/>
  <c r="AB160" i="310"/>
  <c r="Y227" i="310"/>
  <c r="W170" i="310"/>
  <c r="Z136" i="310"/>
  <c r="Y156" i="310"/>
  <c r="Y257" i="310"/>
  <c r="X101" i="310"/>
  <c r="Z172" i="310"/>
  <c r="X253" i="310"/>
  <c r="Z144" i="310"/>
  <c r="X133" i="310"/>
  <c r="X64" i="310"/>
  <c r="AB50" i="310"/>
  <c r="AB135" i="310"/>
  <c r="W46" i="310"/>
  <c r="W148" i="310"/>
  <c r="W185" i="310"/>
  <c r="Y154" i="310"/>
  <c r="Z71" i="310"/>
  <c r="Z124" i="310"/>
  <c r="Y62" i="310"/>
  <c r="Z184" i="310"/>
  <c r="X121" i="310"/>
  <c r="W240" i="310"/>
  <c r="Y244" i="310"/>
  <c r="W255" i="310"/>
  <c r="X256" i="310"/>
  <c r="W25" i="310"/>
  <c r="Z238" i="310"/>
  <c r="Z26" i="310"/>
  <c r="AB238" i="310"/>
  <c r="Y250" i="310"/>
  <c r="Y238" i="310"/>
  <c r="Z167" i="310"/>
  <c r="W217" i="310"/>
  <c r="Y216" i="310"/>
  <c r="X216" i="310"/>
  <c r="Y173" i="310"/>
  <c r="X173" i="310"/>
  <c r="W172" i="310"/>
  <c r="W184" i="310"/>
  <c r="Z183" i="310"/>
  <c r="X155" i="310"/>
  <c r="X184" i="310"/>
  <c r="X178" i="310"/>
  <c r="Z122" i="310"/>
  <c r="W131" i="310"/>
  <c r="Y143" i="310"/>
  <c r="W161" i="310"/>
  <c r="W156" i="310"/>
  <c r="Z157" i="310"/>
  <c r="Z155" i="310"/>
  <c r="W146" i="310"/>
  <c r="AB146" i="310"/>
  <c r="X145" i="310"/>
  <c r="W137" i="310"/>
  <c r="AB134" i="310"/>
  <c r="W133" i="310"/>
  <c r="X137" i="310"/>
  <c r="AB133" i="310"/>
  <c r="X123" i="310"/>
  <c r="Z120" i="310"/>
  <c r="Z99" i="310"/>
  <c r="W95" i="310"/>
  <c r="W65" i="310"/>
  <c r="AB88" i="310"/>
  <c r="X84" i="310"/>
  <c r="W64" i="310"/>
  <c r="AB71" i="310"/>
  <c r="Y75" i="310"/>
  <c r="AB65" i="310"/>
  <c r="W62" i="310"/>
  <c r="AB63" i="310"/>
  <c r="AB64" i="310"/>
  <c r="Z65" i="310"/>
  <c r="Y52" i="310"/>
  <c r="X53" i="310"/>
  <c r="W26" i="310"/>
  <c r="Z24" i="310"/>
  <c r="Y49" i="310"/>
  <c r="Y38" i="310"/>
  <c r="Y23" i="310"/>
  <c r="AA244" i="310"/>
  <c r="AA253" i="310"/>
  <c r="AA256" i="310"/>
  <c r="AA241" i="310"/>
  <c r="X166" i="310"/>
  <c r="W214" i="310"/>
  <c r="Y118" i="310"/>
  <c r="Z46" i="310"/>
  <c r="AB178" i="310"/>
  <c r="Z132" i="310"/>
  <c r="Z119" i="310"/>
  <c r="X35" i="310"/>
  <c r="Z219" i="310"/>
  <c r="E290" i="310"/>
  <c r="W290" i="310" s="1"/>
  <c r="X215" i="310"/>
  <c r="X124" i="310"/>
  <c r="Z106" i="310"/>
  <c r="Y110" i="310"/>
  <c r="Z107" i="310"/>
  <c r="W179" i="310"/>
  <c r="Y109" i="310"/>
  <c r="AB109" i="310"/>
  <c r="AB110" i="310"/>
  <c r="Y113" i="310"/>
  <c r="W111" i="310"/>
  <c r="W112" i="310"/>
  <c r="AB108" i="310"/>
  <c r="W113" i="310"/>
  <c r="W109" i="310"/>
  <c r="X111" i="310"/>
  <c r="W227" i="310"/>
  <c r="X89" i="310"/>
  <c r="Y231" i="310"/>
  <c r="X227" i="310"/>
  <c r="AB161" i="310"/>
  <c r="Z143" i="310"/>
  <c r="X219" i="310"/>
  <c r="X172" i="310"/>
  <c r="X122" i="310"/>
  <c r="W85" i="310"/>
  <c r="AB170" i="310"/>
  <c r="AB173" i="310"/>
  <c r="Y240" i="310"/>
  <c r="AB251" i="310"/>
  <c r="AB166" i="310"/>
  <c r="W122" i="310"/>
  <c r="Z250" i="310"/>
  <c r="AB85" i="310"/>
  <c r="W107" i="310"/>
  <c r="Z158" i="310"/>
  <c r="Z181" i="310"/>
  <c r="Z221" i="310"/>
  <c r="X245" i="310"/>
  <c r="X238" i="310"/>
  <c r="AB180" i="310"/>
  <c r="Z161" i="310"/>
  <c r="AB250" i="310"/>
  <c r="X156" i="310"/>
  <c r="W257" i="310"/>
  <c r="W101" i="310"/>
  <c r="Y124" i="310"/>
  <c r="Z220" i="310"/>
  <c r="Z86" i="310"/>
  <c r="W10" i="310"/>
  <c r="W14" i="310"/>
  <c r="Y13" i="310"/>
  <c r="Y97" i="310"/>
  <c r="AA11" i="310"/>
  <c r="W168" i="310"/>
  <c r="X14" i="310"/>
  <c r="Z11" i="310"/>
  <c r="AB15" i="310"/>
  <c r="AA16" i="310"/>
  <c r="AB14" i="310"/>
  <c r="Z15" i="310"/>
  <c r="AA12" i="310"/>
  <c r="X221" i="310"/>
  <c r="W155" i="310"/>
  <c r="W181" i="310"/>
  <c r="Y100" i="310"/>
  <c r="W160" i="310"/>
  <c r="W142" i="310"/>
  <c r="W100" i="310"/>
  <c r="Y28" i="310"/>
  <c r="X169" i="310"/>
  <c r="Z137" i="310"/>
  <c r="W38" i="310"/>
  <c r="W132" i="310"/>
  <c r="Y125" i="310"/>
  <c r="X179" i="310"/>
  <c r="Y242" i="310"/>
  <c r="X99" i="310"/>
  <c r="X132" i="310"/>
  <c r="AB218" i="310"/>
  <c r="X185" i="310"/>
  <c r="Y26" i="310"/>
  <c r="Z97" i="310"/>
  <c r="X24" i="310"/>
  <c r="X171" i="310"/>
  <c r="AB147" i="310"/>
  <c r="W86" i="310"/>
  <c r="AA255" i="310"/>
  <c r="X250" i="310"/>
  <c r="Z227" i="310"/>
  <c r="X27" i="310"/>
  <c r="W250" i="310"/>
  <c r="AB28" i="310"/>
  <c r="Z169" i="310"/>
  <c r="Z28" i="310"/>
  <c r="W121" i="310"/>
  <c r="AB233" i="310"/>
  <c r="Z36" i="310"/>
  <c r="X98" i="310"/>
  <c r="Y98" i="310"/>
  <c r="Z29" i="310"/>
  <c r="W29" i="310"/>
  <c r="AB120" i="310"/>
  <c r="X88" i="310"/>
  <c r="Z142" i="310"/>
  <c r="Y147" i="310"/>
  <c r="Y107" i="310"/>
  <c r="Y63" i="310"/>
  <c r="W110" i="310"/>
  <c r="Z62" i="310"/>
  <c r="AB29" i="310"/>
  <c r="X118" i="310"/>
  <c r="W147" i="310"/>
  <c r="AA232" i="310"/>
  <c r="AB112" i="310"/>
  <c r="X183" i="310"/>
  <c r="X220" i="310"/>
  <c r="AB61" i="310"/>
  <c r="Y221" i="310"/>
  <c r="Y241" i="310"/>
  <c r="N279" i="310"/>
  <c r="AA231" i="310"/>
  <c r="Z84" i="310"/>
  <c r="AB10" i="310"/>
  <c r="AB100" i="310"/>
  <c r="Y161" i="310"/>
  <c r="X94" i="310"/>
  <c r="Z245" i="310"/>
  <c r="Z256" i="310"/>
  <c r="W96" i="310"/>
  <c r="Y170" i="310"/>
  <c r="AB229" i="310"/>
  <c r="N281" i="310"/>
  <c r="Y219" i="310"/>
  <c r="W75" i="310"/>
  <c r="AB38" i="310"/>
  <c r="W171" i="310"/>
  <c r="Z10" i="310"/>
  <c r="W119" i="310"/>
  <c r="Z52" i="310"/>
  <c r="W226" i="310"/>
  <c r="X170" i="310"/>
  <c r="W125" i="310"/>
  <c r="Z166" i="310"/>
  <c r="Z180" i="310"/>
  <c r="X15" i="310"/>
  <c r="Y166" i="310"/>
  <c r="Y142" i="310"/>
  <c r="Y48" i="310"/>
  <c r="Y184" i="310"/>
  <c r="Z146" i="310"/>
  <c r="Z113" i="310"/>
  <c r="Z149" i="310"/>
  <c r="W219" i="310"/>
  <c r="AB35" i="310"/>
  <c r="Z87" i="310"/>
  <c r="AB148" i="310"/>
  <c r="Y181" i="310"/>
  <c r="Z60" i="310"/>
  <c r="W215" i="310"/>
  <c r="Q273" i="310"/>
  <c r="Y148" i="310"/>
  <c r="Y111" i="310"/>
  <c r="Z218" i="310"/>
  <c r="AB26" i="310"/>
  <c r="X167" i="310"/>
  <c r="X36" i="310"/>
  <c r="W120" i="310"/>
  <c r="S268" i="310"/>
  <c r="X144" i="310"/>
  <c r="Y214" i="310"/>
  <c r="AB184" i="310"/>
  <c r="W216" i="310"/>
  <c r="Y182" i="310"/>
  <c r="Y158" i="310"/>
  <c r="X58" i="310"/>
  <c r="W233" i="310"/>
  <c r="W254" i="310"/>
  <c r="W50" i="310"/>
  <c r="W88" i="310"/>
  <c r="Z82" i="310"/>
  <c r="AB220" i="310"/>
  <c r="AA233" i="310"/>
  <c r="Z112" i="310"/>
  <c r="S270" i="310"/>
  <c r="J272" i="310"/>
  <c r="Z147" i="310"/>
  <c r="Z101" i="310"/>
  <c r="AB23" i="310"/>
  <c r="W70" i="310"/>
  <c r="Y85" i="310"/>
  <c r="X147" i="310"/>
  <c r="AB158" i="310"/>
  <c r="X12" i="310"/>
  <c r="X233" i="310"/>
  <c r="O281" i="310"/>
  <c r="S263" i="310"/>
  <c r="R282" i="310"/>
  <c r="AA74" i="310"/>
  <c r="AB145" i="310"/>
  <c r="N270" i="310"/>
  <c r="Z74" i="310"/>
  <c r="X26" i="310"/>
  <c r="Y39" i="310"/>
  <c r="Y86" i="310"/>
  <c r="Z47" i="310"/>
  <c r="AB40" i="310"/>
  <c r="Y160" i="310"/>
  <c r="W13" i="310"/>
  <c r="Y60" i="310"/>
  <c r="Z130" i="310"/>
  <c r="AA230" i="310"/>
  <c r="AA254" i="310"/>
  <c r="Z244" i="310"/>
  <c r="AB13" i="310"/>
  <c r="Y135" i="310"/>
  <c r="Y122" i="310"/>
  <c r="W158" i="310"/>
  <c r="X113" i="310"/>
  <c r="Z171" i="310"/>
  <c r="X142" i="310"/>
  <c r="AB185" i="310"/>
  <c r="X71" i="310"/>
  <c r="H268" i="310"/>
  <c r="AB159" i="310"/>
  <c r="Q270" i="310"/>
  <c r="W124" i="310"/>
  <c r="Z217" i="310"/>
  <c r="Z131" i="310"/>
  <c r="F272" i="310"/>
  <c r="N263" i="310"/>
  <c r="J289" i="310"/>
  <c r="AB289" i="310" s="1"/>
  <c r="W228" i="310"/>
  <c r="X109" i="310"/>
  <c r="N271" i="310"/>
  <c r="Z88" i="310"/>
  <c r="Y89" i="310"/>
  <c r="Y255" i="310"/>
  <c r="Z111" i="310"/>
  <c r="W230" i="310"/>
  <c r="O279" i="310"/>
  <c r="Z118" i="310"/>
  <c r="Y121" i="310"/>
  <c r="W145" i="310"/>
  <c r="W150" i="310" s="1"/>
  <c r="X112" i="310"/>
  <c r="Z170" i="310"/>
  <c r="Q282" i="310"/>
  <c r="Z35" i="310"/>
  <c r="X108" i="310"/>
  <c r="E288" i="310"/>
  <c r="Y120" i="310"/>
  <c r="F270" i="310"/>
  <c r="O268" i="310"/>
  <c r="Y123" i="310"/>
  <c r="Y29" i="310"/>
  <c r="Y233" i="310"/>
  <c r="Y101" i="310"/>
  <c r="AB107" i="310"/>
  <c r="X146" i="310"/>
  <c r="X157" i="310"/>
  <c r="Y34" i="310"/>
  <c r="Y70" i="310"/>
  <c r="AB76" i="310"/>
  <c r="AB87" i="310"/>
  <c r="W238" i="310"/>
  <c r="X136" i="310"/>
  <c r="Z216" i="310"/>
  <c r="Z94" i="310"/>
  <c r="Z102" i="310" s="1"/>
  <c r="Q268" i="310"/>
  <c r="X159" i="310"/>
  <c r="Y87" i="310"/>
  <c r="AB121" i="310"/>
  <c r="Q280" i="310"/>
  <c r="AB12" i="310"/>
  <c r="AB125" i="310"/>
  <c r="Y220" i="310"/>
  <c r="N273" i="310"/>
  <c r="P273" i="310"/>
  <c r="P276" i="310"/>
  <c r="H289" i="310"/>
  <c r="W182" i="310"/>
  <c r="W123" i="310"/>
  <c r="X149" i="310"/>
  <c r="N280" i="310"/>
  <c r="Y95" i="310"/>
  <c r="E280" i="310"/>
  <c r="AA13" i="310"/>
  <c r="X86" i="310"/>
  <c r="Y144" i="310"/>
  <c r="N293" i="310"/>
  <c r="W15" i="310"/>
  <c r="X135" i="310"/>
  <c r="X138" i="310" s="1"/>
  <c r="H273" i="310"/>
  <c r="P269" i="310"/>
  <c r="O270" i="310"/>
  <c r="O274" i="310"/>
  <c r="G282" i="310"/>
  <c r="X214" i="310"/>
  <c r="N266" i="310"/>
  <c r="X70" i="310"/>
  <c r="X120" i="310"/>
  <c r="S280" i="310"/>
  <c r="Y76" i="310"/>
  <c r="Y53" i="310"/>
  <c r="Y106" i="310"/>
  <c r="F281" i="310"/>
  <c r="Z109" i="310"/>
  <c r="P279" i="310"/>
  <c r="J280" i="310"/>
  <c r="Y178" i="310"/>
  <c r="W11" i="310"/>
  <c r="W17" i="310" s="1"/>
  <c r="AB39" i="310"/>
  <c r="O273" i="310"/>
  <c r="Y14" i="310"/>
  <c r="Y84" i="310"/>
  <c r="X181" i="310"/>
  <c r="O263" i="310"/>
  <c r="H270" i="310"/>
  <c r="S271" i="310"/>
  <c r="AA10" i="310"/>
  <c r="Y40" i="310"/>
  <c r="X76" i="310"/>
  <c r="Y226" i="310"/>
  <c r="F282" i="310"/>
  <c r="Z229" i="310"/>
  <c r="S282" i="310"/>
  <c r="H280" i="310"/>
  <c r="X232" i="310"/>
  <c r="W159" i="310"/>
  <c r="W136" i="310"/>
  <c r="Y136" i="310"/>
  <c r="Z48" i="310"/>
  <c r="N282" i="310"/>
  <c r="W251" i="310"/>
  <c r="Z252" i="310"/>
  <c r="Z38" i="310"/>
  <c r="Y229" i="310"/>
  <c r="Y218" i="310"/>
  <c r="AB240" i="310"/>
  <c r="AA257" i="310"/>
  <c r="AB89" i="310"/>
  <c r="W47" i="310"/>
  <c r="Z41" i="310"/>
  <c r="AB72" i="310"/>
  <c r="AB62" i="310"/>
  <c r="W37" i="310"/>
  <c r="W12" i="310"/>
  <c r="P282" i="310"/>
  <c r="Y50" i="310"/>
  <c r="W39" i="310"/>
  <c r="Z37" i="310"/>
  <c r="W98" i="310"/>
  <c r="Y36" i="310"/>
  <c r="X28" i="310"/>
  <c r="X41" i="310"/>
  <c r="H291" i="310"/>
  <c r="E269" i="310"/>
  <c r="W74" i="310"/>
  <c r="X134" i="310"/>
  <c r="X38" i="310"/>
  <c r="Y133" i="310"/>
  <c r="AB52" i="310"/>
  <c r="Y41" i="310"/>
  <c r="AB47" i="310"/>
  <c r="W53" i="310"/>
  <c r="F274" i="310"/>
  <c r="W71" i="310"/>
  <c r="Z241" i="310"/>
  <c r="J263" i="310"/>
  <c r="W135" i="310"/>
  <c r="F289" i="310"/>
  <c r="AB155" i="310"/>
  <c r="N290" i="310"/>
  <c r="Y72" i="310"/>
  <c r="AB41" i="310"/>
  <c r="Q290" i="310"/>
  <c r="Z290" i="310" s="1"/>
  <c r="X100" i="310"/>
  <c r="Z254" i="310"/>
  <c r="AB111" i="310"/>
  <c r="Z125" i="310"/>
  <c r="X37" i="310"/>
  <c r="AA14" i="310"/>
  <c r="S281" i="310"/>
  <c r="X217" i="310"/>
  <c r="W232" i="310"/>
  <c r="W234" i="310" s="1"/>
  <c r="Y180" i="310"/>
  <c r="P274" i="310"/>
  <c r="Y51" i="310"/>
  <c r="Y54" i="310" s="1"/>
  <c r="P270" i="310"/>
  <c r="AB11" i="310"/>
  <c r="O280" i="310"/>
  <c r="X107" i="310"/>
  <c r="W149" i="310"/>
  <c r="AB183" i="310"/>
  <c r="AB157" i="310"/>
  <c r="O289" i="310"/>
  <c r="Z40" i="310"/>
  <c r="W76" i="310"/>
  <c r="Z215" i="310"/>
  <c r="Y245" i="310"/>
  <c r="Y246" i="310" s="1"/>
  <c r="Y88" i="310"/>
  <c r="G289" i="310"/>
  <c r="AB136" i="310"/>
  <c r="E292" i="310"/>
  <c r="W292" i="310" s="1"/>
  <c r="O282" i="310"/>
  <c r="Z123" i="310"/>
  <c r="Z108" i="310"/>
  <c r="AB181" i="310"/>
  <c r="X39" i="310"/>
  <c r="N292" i="310"/>
  <c r="Y172" i="310"/>
  <c r="Y146" i="310"/>
  <c r="Y150" i="310" s="1"/>
  <c r="E272" i="310"/>
  <c r="Y112" i="310"/>
  <c r="F280" i="310"/>
  <c r="Z133" i="310"/>
  <c r="AB142" i="310"/>
  <c r="W241" i="310"/>
  <c r="W22" i="310"/>
  <c r="Z255" i="310"/>
  <c r="Y232" i="310"/>
  <c r="Z50" i="310"/>
  <c r="X23" i="310"/>
  <c r="AA252" i="310"/>
  <c r="Z179" i="310"/>
  <c r="Q281" i="310"/>
  <c r="Q263" i="310"/>
  <c r="P280" i="310"/>
  <c r="W84" i="310"/>
  <c r="S265" i="310"/>
  <c r="Z53" i="310"/>
  <c r="Z85" i="310"/>
  <c r="G292" i="310"/>
  <c r="X47" i="310"/>
  <c r="W52" i="310"/>
  <c r="S279" i="310"/>
  <c r="Z76" i="310"/>
  <c r="W83" i="310"/>
  <c r="E289" i="310"/>
  <c r="W289" i="310" s="1"/>
  <c r="X11" i="310"/>
  <c r="O276" i="310"/>
  <c r="AB73" i="310"/>
  <c r="AB179" i="310"/>
  <c r="P281" i="310"/>
  <c r="Y149" i="310"/>
  <c r="W183" i="310"/>
  <c r="G291" i="310"/>
  <c r="S269" i="310"/>
  <c r="H263" i="310"/>
  <c r="W169" i="310"/>
  <c r="R280" i="310"/>
  <c r="W108" i="310"/>
  <c r="X50" i="310"/>
  <c r="AB226" i="310"/>
  <c r="W72" i="310"/>
  <c r="S292" i="310"/>
  <c r="AB48" i="310"/>
  <c r="E291" i="310"/>
  <c r="W291" i="310" s="1"/>
  <c r="Z182" i="310"/>
  <c r="Z121" i="310"/>
  <c r="Z14" i="310"/>
  <c r="X10" i="310"/>
  <c r="H272" i="310"/>
  <c r="Z272" i="310" s="1"/>
  <c r="Y185" i="310"/>
  <c r="W253" i="310"/>
  <c r="Z89" i="310"/>
  <c r="X218" i="310"/>
  <c r="O290" i="310"/>
  <c r="X74" i="310"/>
  <c r="Y35" i="310"/>
  <c r="P264" i="310"/>
  <c r="S288" i="310"/>
  <c r="AB36" i="310"/>
  <c r="W41" i="310"/>
  <c r="P288" i="310"/>
  <c r="Y288" i="310" s="1"/>
  <c r="AB74" i="310"/>
  <c r="P266" i="310"/>
  <c r="N264" i="310"/>
  <c r="O291" i="310"/>
  <c r="Z39" i="310"/>
  <c r="Q291" i="310"/>
  <c r="Z291" i="310" s="1"/>
  <c r="X40" i="310"/>
  <c r="O292" i="310"/>
  <c r="P290" i="310"/>
  <c r="Y290" i="310" s="1"/>
  <c r="Y74" i="310"/>
  <c r="AB49" i="310"/>
  <c r="S289" i="310"/>
  <c r="Z49" i="310"/>
  <c r="Q265" i="310"/>
  <c r="Y73" i="310"/>
  <c r="P289" i="310"/>
  <c r="W48" i="310"/>
  <c r="N288" i="310"/>
  <c r="F276" i="310"/>
  <c r="F279" i="310"/>
  <c r="O272" i="310"/>
  <c r="Q274" i="310"/>
  <c r="S264" i="310"/>
  <c r="Z58" i="310"/>
  <c r="Z66" i="310" s="1"/>
  <c r="G290" i="310"/>
  <c r="P292" i="310"/>
  <c r="G280" i="310"/>
  <c r="AB27" i="310"/>
  <c r="X85" i="310"/>
  <c r="Y253" i="310"/>
  <c r="Z231" i="310"/>
  <c r="X254" i="310"/>
  <c r="AB227" i="310"/>
  <c r="AB234" i="310" s="1"/>
  <c r="AB228" i="310"/>
  <c r="W244" i="310"/>
  <c r="P268" i="310"/>
  <c r="N269" i="310"/>
  <c r="F288" i="310"/>
  <c r="P291" i="310"/>
  <c r="AA243" i="310"/>
  <c r="AA242" i="310"/>
  <c r="W28" i="310"/>
  <c r="X63" i="310"/>
  <c r="Y108" i="310"/>
  <c r="X158" i="310"/>
  <c r="X162" i="310" s="1"/>
  <c r="X182" i="310"/>
  <c r="X168" i="310"/>
  <c r="O293" i="310"/>
  <c r="F287" i="310"/>
  <c r="Z240" i="310"/>
  <c r="Y252" i="310"/>
  <c r="Z239" i="310"/>
  <c r="E287" i="310"/>
  <c r="W287" i="310" s="1"/>
  <c r="Z243" i="310"/>
  <c r="Z246" i="310" s="1"/>
  <c r="AB16" i="310"/>
  <c r="W242" i="310"/>
  <c r="P272" i="310"/>
  <c r="Y272" i="310" s="1"/>
  <c r="G279" i="310"/>
  <c r="N272" i="310"/>
  <c r="S274" i="310"/>
  <c r="E263" i="310"/>
  <c r="Y155" i="310"/>
  <c r="G276" i="310"/>
  <c r="N268" i="310"/>
  <c r="S276" i="310"/>
  <c r="AB276" i="310" s="1"/>
  <c r="BU276" i="310" s="1"/>
  <c r="O265" i="310"/>
  <c r="J292" i="310"/>
  <c r="W97" i="310"/>
  <c r="W87" i="310"/>
  <c r="W90" i="310" s="1"/>
  <c r="E293" i="310"/>
  <c r="W293" i="310" s="1"/>
  <c r="P293" i="310"/>
  <c r="AB252" i="310"/>
  <c r="AB258" i="310" s="1"/>
  <c r="Y243" i="310"/>
  <c r="Y230" i="310"/>
  <c r="Z13" i="310"/>
  <c r="X241" i="310"/>
  <c r="X228" i="310"/>
  <c r="X234" i="310" s="1"/>
  <c r="G263" i="310"/>
  <c r="Q264" i="310"/>
  <c r="O271" i="310"/>
  <c r="N274" i="310"/>
  <c r="H292" i="310"/>
  <c r="J282" i="310"/>
  <c r="AA245" i="310"/>
  <c r="H281" i="310"/>
  <c r="Z23" i="310"/>
  <c r="J293" i="310"/>
  <c r="X244" i="310"/>
  <c r="AB119" i="310"/>
  <c r="Q276" i="310"/>
  <c r="Z276" i="310" s="1"/>
  <c r="BS276" i="310" s="1"/>
  <c r="S272" i="310"/>
  <c r="Q271" i="310"/>
  <c r="Q279" i="310"/>
  <c r="H290" i="310"/>
  <c r="E281" i="310"/>
  <c r="H282" i="310"/>
  <c r="Z282" i="310" s="1"/>
  <c r="Y25" i="310"/>
  <c r="Q293" i="310"/>
  <c r="H267" i="310"/>
  <c r="W16" i="310"/>
  <c r="W256" i="310"/>
  <c r="Z228" i="310"/>
  <c r="X229" i="310"/>
  <c r="AB254" i="310"/>
  <c r="Y251" i="310"/>
  <c r="AB241" i="310"/>
  <c r="AB244" i="310"/>
  <c r="AB243" i="310"/>
  <c r="AB246" i="310" s="1"/>
  <c r="F263" i="310"/>
  <c r="N265" i="310"/>
  <c r="P271" i="310"/>
  <c r="P265" i="310"/>
  <c r="F292" i="310"/>
  <c r="E282" i="310"/>
  <c r="W282" i="310" s="1"/>
  <c r="Z75" i="310"/>
  <c r="X257" i="310"/>
  <c r="Z12" i="310"/>
  <c r="W106" i="310"/>
  <c r="R281" i="310"/>
  <c r="P263" i="310"/>
  <c r="O288" i="310"/>
  <c r="O269" i="310"/>
  <c r="Q269" i="310"/>
  <c r="S273" i="310"/>
  <c r="J281" i="310"/>
  <c r="AB281" i="310" s="1"/>
  <c r="AA229" i="310"/>
  <c r="AA15" i="310"/>
  <c r="G281" i="310"/>
  <c r="X230" i="310"/>
  <c r="Z233" i="310"/>
  <c r="AB167" i="310"/>
  <c r="AB216" i="310"/>
  <c r="AB222" i="310" s="1"/>
  <c r="AA250" i="310"/>
  <c r="AA238" i="310"/>
  <c r="AA226" i="310"/>
  <c r="AB214" i="310"/>
  <c r="AA214" i="310"/>
  <c r="AA220" i="310"/>
  <c r="Z214" i="310"/>
  <c r="AA216" i="310"/>
  <c r="AA218" i="310"/>
  <c r="AA219" i="310"/>
  <c r="Y215" i="310"/>
  <c r="AA217" i="310"/>
  <c r="AA221" i="310"/>
  <c r="AA170" i="310"/>
  <c r="AA171" i="310"/>
  <c r="AA169" i="310"/>
  <c r="AA168" i="310"/>
  <c r="AA174" i="310" s="1"/>
  <c r="W167" i="310"/>
  <c r="W174" i="310" s="1"/>
  <c r="AB171" i="310"/>
  <c r="Y167" i="310"/>
  <c r="AA172" i="310"/>
  <c r="AA167" i="310"/>
  <c r="AA173" i="310"/>
  <c r="AA206" i="310"/>
  <c r="AA203" i="310"/>
  <c r="AA209" i="310"/>
  <c r="AA207" i="310"/>
  <c r="AA208" i="310"/>
  <c r="AA205" i="310"/>
  <c r="AA202" i="310"/>
  <c r="AA197" i="310"/>
  <c r="AA195" i="310"/>
  <c r="AA196" i="310"/>
  <c r="AA191" i="310"/>
  <c r="AA193" i="310"/>
  <c r="AA194" i="310"/>
  <c r="Z178" i="310"/>
  <c r="AA185" i="310"/>
  <c r="AA182" i="310"/>
  <c r="AB182" i="310"/>
  <c r="AB118" i="310"/>
  <c r="AB126" i="310" s="1"/>
  <c r="AA180" i="310"/>
  <c r="AA158" i="310"/>
  <c r="W178" i="310"/>
  <c r="AB154" i="310"/>
  <c r="AB162" i="310" s="1"/>
  <c r="AA183" i="310"/>
  <c r="AB143" i="310"/>
  <c r="AA181" i="310"/>
  <c r="AA157" i="310"/>
  <c r="AA184" i="310"/>
  <c r="W154" i="310"/>
  <c r="AA144" i="310"/>
  <c r="AA161" i="310"/>
  <c r="AA160" i="310"/>
  <c r="AA155" i="310"/>
  <c r="AA159" i="310"/>
  <c r="AA147" i="310"/>
  <c r="AA148" i="310"/>
  <c r="X130" i="310"/>
  <c r="AA145" i="310"/>
  <c r="W130" i="310"/>
  <c r="W138" i="310" s="1"/>
  <c r="AA149" i="310"/>
  <c r="AA146" i="310"/>
  <c r="AA143" i="310"/>
  <c r="AA120" i="310"/>
  <c r="AA119" i="310"/>
  <c r="AA126" i="310" s="1"/>
  <c r="AA137" i="310"/>
  <c r="AA132" i="310"/>
  <c r="AA122" i="310"/>
  <c r="AA136" i="310"/>
  <c r="AA135" i="310"/>
  <c r="AA134" i="310"/>
  <c r="AA133" i="310"/>
  <c r="AB131" i="310"/>
  <c r="Y131" i="310"/>
  <c r="AA124" i="310"/>
  <c r="AA121" i="310"/>
  <c r="W118" i="310"/>
  <c r="W126" i="310" s="1"/>
  <c r="AA123" i="310"/>
  <c r="Y82" i="310"/>
  <c r="AA125" i="310"/>
  <c r="X119" i="310"/>
  <c r="X126" i="310" s="1"/>
  <c r="AA113" i="310"/>
  <c r="AA112" i="310"/>
  <c r="X106" i="310"/>
  <c r="AA109" i="310"/>
  <c r="AA111" i="310"/>
  <c r="AA110" i="310"/>
  <c r="AA108" i="310"/>
  <c r="X95" i="310"/>
  <c r="X102" i="310" s="1"/>
  <c r="AA99" i="310"/>
  <c r="AA63" i="310"/>
  <c r="AA95" i="310"/>
  <c r="AA102" i="310" s="1"/>
  <c r="AA101" i="310"/>
  <c r="Y94" i="310"/>
  <c r="Z100" i="310"/>
  <c r="AB99" i="310"/>
  <c r="AA98" i="310"/>
  <c r="AB94" i="310"/>
  <c r="AA96" i="310"/>
  <c r="AA97" i="310"/>
  <c r="AB82" i="310"/>
  <c r="W94" i="310"/>
  <c r="AA100" i="310"/>
  <c r="AA85" i="310"/>
  <c r="AA90" i="310" s="1"/>
  <c r="Z83" i="310"/>
  <c r="AA87" i="310"/>
  <c r="AA88" i="310"/>
  <c r="AA89" i="310"/>
  <c r="AA82" i="310"/>
  <c r="AA83" i="310"/>
  <c r="AA86" i="310"/>
  <c r="AA76" i="310"/>
  <c r="W73" i="310"/>
  <c r="AA71" i="310"/>
  <c r="X72" i="310"/>
  <c r="Y71" i="310"/>
  <c r="Z72" i="310"/>
  <c r="AA72" i="310"/>
  <c r="AA75" i="310"/>
  <c r="X75" i="310"/>
  <c r="AA73" i="310"/>
  <c r="AB70" i="310"/>
  <c r="AB58" i="310"/>
  <c r="AA64" i="310"/>
  <c r="AA62" i="310"/>
  <c r="Z61" i="310"/>
  <c r="AA65" i="310"/>
  <c r="AA49" i="310"/>
  <c r="AA61" i="310"/>
  <c r="Y46" i="310"/>
  <c r="AA46" i="310"/>
  <c r="AA52" i="310"/>
  <c r="AA48" i="310"/>
  <c r="AA39" i="310"/>
  <c r="AA50" i="310"/>
  <c r="AA47" i="310"/>
  <c r="X34" i="310"/>
  <c r="Z34" i="310"/>
  <c r="AB53" i="310"/>
  <c r="W51" i="310"/>
  <c r="AB46" i="310"/>
  <c r="AA35" i="310"/>
  <c r="X46" i="310"/>
  <c r="X54" i="310" s="1"/>
  <c r="AA51" i="310"/>
  <c r="AA41" i="310"/>
  <c r="AB34" i="310"/>
  <c r="AA38" i="310"/>
  <c r="W34" i="310"/>
  <c r="AA53" i="310"/>
  <c r="AA27" i="310"/>
  <c r="AA24" i="310"/>
  <c r="AA37" i="310"/>
  <c r="AA29" i="310"/>
  <c r="AA40" i="310"/>
  <c r="AA23" i="310"/>
  <c r="Y22" i="310"/>
  <c r="AB22" i="310"/>
  <c r="AA26" i="310"/>
  <c r="AA25" i="310"/>
  <c r="X22" i="310"/>
  <c r="AA28" i="310"/>
  <c r="Z22" i="310"/>
  <c r="I281" i="310"/>
  <c r="F268" i="310"/>
  <c r="G268" i="310"/>
  <c r="J268" i="310"/>
  <c r="I282" i="310"/>
  <c r="AA282" i="310" s="1"/>
  <c r="G273" i="310"/>
  <c r="E264" i="310"/>
  <c r="F271" i="310"/>
  <c r="G264" i="310"/>
  <c r="J290" i="310"/>
  <c r="AB290" i="310" s="1"/>
  <c r="G274" i="310"/>
  <c r="J276" i="310"/>
  <c r="J270" i="310"/>
  <c r="E270" i="310"/>
  <c r="H269" i="310"/>
  <c r="E268" i="310"/>
  <c r="F269" i="310"/>
  <c r="X269" i="310" s="1"/>
  <c r="H271" i="310"/>
  <c r="E274" i="310"/>
  <c r="H276" i="310"/>
  <c r="G272" i="310"/>
  <c r="G271" i="310"/>
  <c r="H288" i="310"/>
  <c r="I280" i="310"/>
  <c r="G288" i="310"/>
  <c r="E265" i="310"/>
  <c r="W265" i="310" s="1"/>
  <c r="E271" i="310"/>
  <c r="J264" i="310"/>
  <c r="F290" i="310"/>
  <c r="X290" i="310" s="1"/>
  <c r="G269" i="310"/>
  <c r="J273" i="310"/>
  <c r="F264" i="310"/>
  <c r="H264" i="310"/>
  <c r="F273" i="310"/>
  <c r="J288" i="310"/>
  <c r="AB288" i="310" s="1"/>
  <c r="E273" i="310"/>
  <c r="H274" i="310"/>
  <c r="Q288" i="310"/>
  <c r="R289" i="310"/>
  <c r="R292" i="310"/>
  <c r="R291" i="310"/>
  <c r="S290" i="310"/>
  <c r="Q292" i="310"/>
  <c r="R290" i="310"/>
  <c r="S291" i="310"/>
  <c r="N289" i="310"/>
  <c r="N291" i="310"/>
  <c r="N287" i="310"/>
  <c r="Q289" i="310"/>
  <c r="I291" i="310"/>
  <c r="I290" i="310"/>
  <c r="I292" i="310"/>
  <c r="I293" i="310"/>
  <c r="AA293" i="310" s="1"/>
  <c r="I289" i="310"/>
  <c r="J265" i="310"/>
  <c r="F291" i="310"/>
  <c r="G262" i="310"/>
  <c r="J269" i="310"/>
  <c r="J291" i="310"/>
  <c r="AB291" i="310" s="1"/>
  <c r="G287" i="310"/>
  <c r="J274" i="310"/>
  <c r="AA178" i="310"/>
  <c r="AA190" i="310"/>
  <c r="G265" i="310"/>
  <c r="O264" i="310"/>
  <c r="X264" i="310" s="1"/>
  <c r="BQ264" i="310" s="1"/>
  <c r="F265" i="310"/>
  <c r="H265" i="310"/>
  <c r="R279" i="310"/>
  <c r="R278" i="310"/>
  <c r="R277" i="310"/>
  <c r="R276" i="310"/>
  <c r="R274" i="310"/>
  <c r="Q272" i="310"/>
  <c r="R273" i="310"/>
  <c r="R271" i="310"/>
  <c r="R270" i="310"/>
  <c r="R269" i="310"/>
  <c r="R268" i="310"/>
  <c r="R266" i="310"/>
  <c r="AA166" i="310"/>
  <c r="I278" i="310"/>
  <c r="AA192" i="310"/>
  <c r="AA156" i="310"/>
  <c r="AA131" i="310"/>
  <c r="AA118" i="310"/>
  <c r="AA106" i="310"/>
  <c r="AA114" i="310" s="1"/>
  <c r="I269" i="310"/>
  <c r="AA84" i="310"/>
  <c r="AA60" i="310"/>
  <c r="AA36" i="310"/>
  <c r="R263" i="310"/>
  <c r="I263" i="310"/>
  <c r="R265" i="310"/>
  <c r="I265" i="310"/>
  <c r="AA265" i="310" s="1"/>
  <c r="BT265" i="310" s="1"/>
  <c r="W30" i="310"/>
  <c r="Z273" i="310"/>
  <c r="AB138" i="310"/>
  <c r="AB90" i="310"/>
  <c r="AB186" i="310"/>
  <c r="X282" i="310"/>
  <c r="BQ282" i="310" s="1"/>
  <c r="W114" i="310"/>
  <c r="Z138" i="310"/>
  <c r="X174" i="310"/>
  <c r="X222" i="310"/>
  <c r="J271" i="310"/>
  <c r="AB271" i="310"/>
  <c r="I262" i="310"/>
  <c r="Y289" i="310"/>
  <c r="X186" i="310"/>
  <c r="Z263" i="310"/>
  <c r="BS263" i="310" s="1"/>
  <c r="AA77" i="310"/>
  <c r="O262" i="310"/>
  <c r="Y138" i="310"/>
  <c r="X30" i="310"/>
  <c r="R293" i="310"/>
  <c r="R267" i="310"/>
  <c r="Z174" i="310"/>
  <c r="Z150" i="310"/>
  <c r="AA59" i="310"/>
  <c r="W222" i="310"/>
  <c r="Y90" i="310"/>
  <c r="Z154" i="310"/>
  <c r="Z162" i="310"/>
  <c r="Y102" i="310"/>
  <c r="AB263" i="310"/>
  <c r="BU263" i="310" s="1"/>
  <c r="Y162" i="310"/>
  <c r="X150" i="310"/>
  <c r="X280" i="310"/>
  <c r="BQ280" i="310" s="1"/>
  <c r="Y291" i="310"/>
  <c r="W162" i="310"/>
  <c r="AB106" i="310"/>
  <c r="AB114" i="310" s="1"/>
  <c r="AB150" i="310"/>
  <c r="Z270" i="310"/>
  <c r="X281" i="310"/>
  <c r="BQ281" i="310" s="1"/>
  <c r="Y234" i="310"/>
  <c r="Z258" i="310"/>
  <c r="Z292" i="310"/>
  <c r="W280" i="310"/>
  <c r="BP280" i="310"/>
  <c r="O267" i="310"/>
  <c r="Z280" i="310"/>
  <c r="BS280" i="310"/>
  <c r="Y282" i="310"/>
  <c r="BR282" i="310"/>
  <c r="X270" i="310"/>
  <c r="Y114" i="310"/>
  <c r="X90" i="310"/>
  <c r="Y126" i="310"/>
  <c r="Z114" i="310"/>
  <c r="AB280" i="310"/>
  <c r="AT280" i="310" s="1"/>
  <c r="X274" i="310"/>
  <c r="BQ274" i="310" s="1"/>
  <c r="Y186" i="310"/>
  <c r="W42" i="310"/>
  <c r="X288" i="310"/>
  <c r="W258" i="310"/>
  <c r="Y222" i="310"/>
  <c r="Y42" i="310"/>
  <c r="X291" i="310"/>
  <c r="G270" i="310"/>
  <c r="X114" i="310"/>
  <c r="Z268" i="310"/>
  <c r="BS268" i="310" s="1"/>
  <c r="Z126" i="310"/>
  <c r="W269" i="310"/>
  <c r="BP269" i="310" s="1"/>
  <c r="AB30" i="310"/>
  <c r="N267" i="310"/>
  <c r="Q266" i="310"/>
  <c r="Q287" i="310"/>
  <c r="J267" i="310"/>
  <c r="Z59" i="310"/>
  <c r="W59" i="310"/>
  <c r="Z54" i="310"/>
  <c r="X276" i="310"/>
  <c r="BQ276" i="310"/>
  <c r="W186" i="310"/>
  <c r="W281" i="310"/>
  <c r="BP281" i="310"/>
  <c r="E267" i="310"/>
  <c r="W272" i="310"/>
  <c r="W54" i="310"/>
  <c r="Y276" i="310"/>
  <c r="BR276" i="310"/>
  <c r="P287" i="310"/>
  <c r="Y287" i="310" s="1"/>
  <c r="Y258" i="310"/>
  <c r="X263" i="310"/>
  <c r="BQ263" i="310" s="1"/>
  <c r="Y30" i="310"/>
  <c r="W102" i="310"/>
  <c r="AB292" i="310"/>
  <c r="Y292" i="310"/>
  <c r="X289" i="310"/>
  <c r="X292" i="310"/>
  <c r="H287" i="310"/>
  <c r="Z287" i="310" s="1"/>
  <c r="AB282" i="310"/>
  <c r="AT282" i="310" s="1"/>
  <c r="AA9" i="310"/>
  <c r="AA17" i="310" s="1"/>
  <c r="Y174" i="310"/>
  <c r="H293" i="310"/>
  <c r="Z293" i="310" s="1"/>
  <c r="Y263" i="310"/>
  <c r="BR263" i="310" s="1"/>
  <c r="X246" i="310"/>
  <c r="W263" i="310"/>
  <c r="BP263" i="310" s="1"/>
  <c r="Y281" i="310"/>
  <c r="BR281" i="310" s="1"/>
  <c r="W77" i="310"/>
  <c r="W78" i="310"/>
  <c r="X258" i="310"/>
  <c r="W246" i="310"/>
  <c r="Z234" i="310"/>
  <c r="Q267" i="310"/>
  <c r="Z267" i="310" s="1"/>
  <c r="H266" i="310"/>
  <c r="AB42" i="310"/>
  <c r="AB272" i="310"/>
  <c r="AT272" i="310" s="1"/>
  <c r="Z77" i="310"/>
  <c r="Z78" i="310"/>
  <c r="Y59" i="310"/>
  <c r="X9" i="310"/>
  <c r="X17" i="310"/>
  <c r="X42" i="310"/>
  <c r="Y280" i="310"/>
  <c r="AQ280" i="310" s="1"/>
  <c r="BR280" i="310"/>
  <c r="P267" i="310"/>
  <c r="AB9" i="310"/>
  <c r="AB17" i="310"/>
  <c r="F266" i="310"/>
  <c r="Z281" i="310"/>
  <c r="BS281" i="310" s="1"/>
  <c r="X272" i="310"/>
  <c r="BQ272" i="310"/>
  <c r="X77" i="310"/>
  <c r="X78" i="310"/>
  <c r="AB265" i="310"/>
  <c r="BU265" i="310"/>
  <c r="X265" i="310"/>
  <c r="BQ265" i="310" s="1"/>
  <c r="AB269" i="310"/>
  <c r="AT269" i="310" s="1"/>
  <c r="BU269" i="310"/>
  <c r="AB274" i="310"/>
  <c r="AT274" i="310" s="1"/>
  <c r="X279" i="310"/>
  <c r="AP279" i="310" s="1"/>
  <c r="BQ279" i="310"/>
  <c r="Y279" i="310"/>
  <c r="BR279" i="310" s="1"/>
  <c r="AB174" i="310"/>
  <c r="H279" i="310"/>
  <c r="J279" i="310"/>
  <c r="E279" i="310"/>
  <c r="AA258" i="310"/>
  <c r="AA246" i="310"/>
  <c r="AA234" i="310"/>
  <c r="Z186" i="310"/>
  <c r="Z42" i="310"/>
  <c r="Z30" i="310"/>
  <c r="Z90" i="310"/>
  <c r="Z222" i="310"/>
  <c r="Y265" i="310"/>
  <c r="BR265" i="310"/>
  <c r="Y268" i="310"/>
  <c r="AQ268" i="310" s="1"/>
  <c r="BR268" i="310"/>
  <c r="W273" i="310"/>
  <c r="AB273" i="310"/>
  <c r="Z265" i="310"/>
  <c r="BS265" i="310" s="1"/>
  <c r="Y269" i="310"/>
  <c r="BR269" i="310" s="1"/>
  <c r="W270" i="310"/>
  <c r="AA263" i="310"/>
  <c r="BT263" i="310" s="1"/>
  <c r="X273" i="310"/>
  <c r="AB270" i="310"/>
  <c r="AB264" i="310"/>
  <c r="BU264" i="310" s="1"/>
  <c r="Y271" i="310"/>
  <c r="BR271" i="310" s="1"/>
  <c r="Y274" i="310"/>
  <c r="BR274" i="310" s="1"/>
  <c r="Y273" i="310"/>
  <c r="AA281" i="310"/>
  <c r="AS281" i="310" s="1"/>
  <c r="BT281" i="310"/>
  <c r="W271" i="310"/>
  <c r="AO271" i="310" s="1"/>
  <c r="BP271" i="310"/>
  <c r="AA278" i="310"/>
  <c r="BT278" i="310"/>
  <c r="W274" i="310"/>
  <c r="AO274" i="310" s="1"/>
  <c r="BP274" i="310"/>
  <c r="Z264" i="310"/>
  <c r="BS264" i="310"/>
  <c r="Z271" i="310"/>
  <c r="BS271" i="310" s="1"/>
  <c r="AB268" i="310"/>
  <c r="AA269" i="310"/>
  <c r="BT269" i="310" s="1"/>
  <c r="W268" i="310"/>
  <c r="BP268" i="310"/>
  <c r="Y264" i="310"/>
  <c r="BR264" i="310" s="1"/>
  <c r="X268" i="310"/>
  <c r="AP268" i="310" s="1"/>
  <c r="Z274" i="310"/>
  <c r="BS274" i="310"/>
  <c r="AA280" i="310"/>
  <c r="AS280" i="310" s="1"/>
  <c r="Z269" i="310"/>
  <c r="BS269" i="310"/>
  <c r="X271" i="310"/>
  <c r="BQ271" i="310" s="1"/>
  <c r="W264" i="310"/>
  <c r="BP264" i="310" s="1"/>
  <c r="AA215" i="310"/>
  <c r="AA198" i="310"/>
  <c r="AA204" i="310"/>
  <c r="AA210" i="310" s="1"/>
  <c r="AA179" i="310"/>
  <c r="AA142" i="310"/>
  <c r="AA154" i="310"/>
  <c r="AA162" i="310" s="1"/>
  <c r="AA130" i="310"/>
  <c r="AB102" i="310"/>
  <c r="AA107" i="310"/>
  <c r="AA94" i="310"/>
  <c r="AA70" i="310"/>
  <c r="AA58" i="310"/>
  <c r="AA54" i="310"/>
  <c r="AB54" i="310"/>
  <c r="AA34" i="310"/>
  <c r="Z288" i="310"/>
  <c r="AA22" i="310"/>
  <c r="AA30" i="310" s="1"/>
  <c r="I267" i="310"/>
  <c r="I272" i="310"/>
  <c r="I274" i="310"/>
  <c r="I268" i="310"/>
  <c r="I264" i="310"/>
  <c r="I273" i="310"/>
  <c r="I270" i="310"/>
  <c r="I276" i="310"/>
  <c r="I271" i="310"/>
  <c r="I266" i="310"/>
  <c r="AA292" i="310"/>
  <c r="AA289" i="310"/>
  <c r="AA290" i="310"/>
  <c r="AA291" i="310"/>
  <c r="Z289" i="310"/>
  <c r="R288" i="310"/>
  <c r="R287" i="310"/>
  <c r="I286" i="310"/>
  <c r="I279" i="310"/>
  <c r="I287" i="310"/>
  <c r="I288" i="310"/>
  <c r="I277" i="310"/>
  <c r="R264" i="310"/>
  <c r="R272" i="310"/>
  <c r="BU274" i="310"/>
  <c r="AT268" i="310"/>
  <c r="BU268" i="310"/>
  <c r="AT271" i="310"/>
  <c r="BU271" i="310"/>
  <c r="AP282" i="310"/>
  <c r="Y270" i="310"/>
  <c r="O286" i="310"/>
  <c r="AP274" i="310"/>
  <c r="AO280" i="310"/>
  <c r="AP280" i="310"/>
  <c r="AR280" i="310"/>
  <c r="AO281" i="310"/>
  <c r="AQ282" i="310"/>
  <c r="AR268" i="310"/>
  <c r="W267" i="310"/>
  <c r="S266" i="310"/>
  <c r="S287" i="310"/>
  <c r="H262" i="310"/>
  <c r="H286" i="310"/>
  <c r="H294" i="310" s="1"/>
  <c r="P286" i="310"/>
  <c r="P294" i="310"/>
  <c r="P262" i="310"/>
  <c r="Y9" i="310"/>
  <c r="Y17" i="310"/>
  <c r="S262" i="310"/>
  <c r="S286" i="310"/>
  <c r="AQ281" i="310"/>
  <c r="R262" i="310"/>
  <c r="R286" i="310"/>
  <c r="AA286" i="310" s="1"/>
  <c r="S293" i="310"/>
  <c r="S267" i="310"/>
  <c r="AB77" i="310"/>
  <c r="AB78" i="310" s="1"/>
  <c r="Z266" i="310"/>
  <c r="N262" i="310"/>
  <c r="N286" i="310"/>
  <c r="N294" i="310"/>
  <c r="W9" i="310"/>
  <c r="E262" i="310"/>
  <c r="W58" i="310"/>
  <c r="W66" i="310" s="1"/>
  <c r="E266" i="310"/>
  <c r="E286" i="310"/>
  <c r="W286" i="310" s="1"/>
  <c r="F262" i="310"/>
  <c r="F286" i="310"/>
  <c r="O266" i="310"/>
  <c r="O287" i="310"/>
  <c r="Y77" i="310"/>
  <c r="Y78" i="310"/>
  <c r="G293" i="310"/>
  <c r="Y293" i="310" s="1"/>
  <c r="G267" i="310"/>
  <c r="F267" i="310"/>
  <c r="F293" i="310"/>
  <c r="X293" i="310"/>
  <c r="X59" i="310"/>
  <c r="X66" i="310"/>
  <c r="AB59" i="310"/>
  <c r="AB66" i="310" s="1"/>
  <c r="J266" i="310"/>
  <c r="J287" i="310"/>
  <c r="Y58" i="310"/>
  <c r="Y66" i="310"/>
  <c r="G286" i="310"/>
  <c r="G266" i="310"/>
  <c r="J262" i="310"/>
  <c r="J286" i="310"/>
  <c r="Q262" i="310"/>
  <c r="Z9" i="310"/>
  <c r="Z17" i="310"/>
  <c r="Q286" i="310"/>
  <c r="AQ279" i="310"/>
  <c r="AS278" i="310"/>
  <c r="AR274" i="310"/>
  <c r="AP272" i="310"/>
  <c r="AO272" i="310"/>
  <c r="AR271" i="310"/>
  <c r="AR269" i="310"/>
  <c r="AO269" i="310"/>
  <c r="AO268" i="310"/>
  <c r="Z279" i="310"/>
  <c r="BS279" i="310" s="1"/>
  <c r="W279" i="310"/>
  <c r="AA186" i="310"/>
  <c r="AA150" i="310"/>
  <c r="AA78" i="310"/>
  <c r="AA66" i="310"/>
  <c r="AA42" i="310"/>
  <c r="AA222" i="310"/>
  <c r="AA138" i="310"/>
  <c r="AA270" i="310"/>
  <c r="AA267" i="310"/>
  <c r="AA266" i="310"/>
  <c r="BT275" i="310"/>
  <c r="AA273" i="310"/>
  <c r="AA264" i="310"/>
  <c r="BT264" i="310" s="1"/>
  <c r="AA268" i="310"/>
  <c r="AS268" i="310" s="1"/>
  <c r="BT268" i="310"/>
  <c r="AA277" i="310"/>
  <c r="BT277" i="310"/>
  <c r="AA271" i="310"/>
  <c r="BT271" i="310" s="1"/>
  <c r="AA274" i="310"/>
  <c r="AS274" i="310" s="1"/>
  <c r="AA279" i="310"/>
  <c r="BT279" i="310" s="1"/>
  <c r="AA276" i="310"/>
  <c r="AS276" i="310" s="1"/>
  <c r="BT276" i="310"/>
  <c r="AA272" i="310"/>
  <c r="AS272" i="310" s="1"/>
  <c r="AA288" i="310"/>
  <c r="AA287" i="310"/>
  <c r="I294" i="310"/>
  <c r="AO279" i="310"/>
  <c r="BP279" i="310"/>
  <c r="AT276" i="310"/>
  <c r="BU275" i="310"/>
  <c r="AB287" i="310"/>
  <c r="R294" i="310"/>
  <c r="AA262" i="310"/>
  <c r="AS262" i="310" s="1"/>
  <c r="BT262" i="310"/>
  <c r="Y262" i="310"/>
  <c r="BR262" i="310" s="1"/>
  <c r="AR265" i="310"/>
  <c r="AB267" i="310"/>
  <c r="AB293" i="310"/>
  <c r="S294" i="310"/>
  <c r="W262" i="310"/>
  <c r="AO262" i="310"/>
  <c r="J294" i="310"/>
  <c r="AB286" i="310"/>
  <c r="X287" i="310"/>
  <c r="O294" i="310"/>
  <c r="AB262" i="310"/>
  <c r="X266" i="310"/>
  <c r="Y266" i="310"/>
  <c r="AQ265" i="310" s="1"/>
  <c r="X267" i="310"/>
  <c r="F294" i="310"/>
  <c r="X286" i="310"/>
  <c r="Y286" i="310"/>
  <c r="G294" i="310"/>
  <c r="X262" i="310"/>
  <c r="AP262" i="310" s="1"/>
  <c r="BQ262" i="310"/>
  <c r="Q294" i="310"/>
  <c r="Z286" i="310"/>
  <c r="Y267" i="310"/>
  <c r="W266" i="310"/>
  <c r="Z262" i="310"/>
  <c r="BS262" i="310"/>
  <c r="AB266" i="310"/>
  <c r="AT265" i="310" s="1"/>
  <c r="AS279" i="310"/>
  <c r="AR279" i="310"/>
  <c r="AS277" i="310"/>
  <c r="AQ276" i="310"/>
  <c r="AR276" i="310"/>
  <c r="AP276" i="310"/>
  <c r="AS269" i="310"/>
  <c r="AS265" i="310"/>
  <c r="AA294" i="310"/>
  <c r="BP262" i="310"/>
  <c r="AT262" i="310"/>
  <c r="BU262" i="310"/>
  <c r="AQ262" i="310"/>
  <c r="Y294" i="310"/>
  <c r="Z294" i="310"/>
  <c r="X294" i="310"/>
  <c r="AP265" i="310"/>
  <c r="AB294" i="310"/>
  <c r="AR262" i="310"/>
  <c r="W288" i="310" l="1"/>
  <c r="E294" i="310"/>
  <c r="AT277" i="310"/>
  <c r="BU277" i="310"/>
  <c r="BT272" i="310"/>
  <c r="AO277" i="310"/>
  <c r="BP277" i="310"/>
  <c r="AR277" i="310"/>
  <c r="BS277" i="310"/>
  <c r="BQ269" i="310"/>
  <c r="AP269" i="310"/>
  <c r="AS282" i="310"/>
  <c r="BT282" i="310"/>
  <c r="BS282" i="310"/>
  <c r="AR282" i="310"/>
  <c r="AR272" i="310"/>
  <c r="BS272" i="310"/>
  <c r="AO278" i="310"/>
  <c r="BP278" i="310"/>
  <c r="BQ278" i="310"/>
  <c r="AP278" i="310"/>
  <c r="AO276" i="310"/>
  <c r="BP276" i="310"/>
  <c r="AO265" i="310"/>
  <c r="BP265" i="310"/>
  <c r="AQ272" i="310"/>
  <c r="BR272" i="310"/>
  <c r="BT274" i="310"/>
  <c r="BS278" i="310"/>
  <c r="AR278" i="310"/>
  <c r="AS271" i="310"/>
  <c r="AO282" i="310"/>
  <c r="BP282" i="310"/>
  <c r="AT281" i="310"/>
  <c r="BU281" i="310"/>
  <c r="BR277" i="310"/>
  <c r="AQ277" i="310"/>
  <c r="BU280" i="310"/>
  <c r="AQ274" i="310"/>
  <c r="AR281" i="310"/>
  <c r="BT280" i="310"/>
  <c r="BQ277" i="310"/>
  <c r="AB279" i="310"/>
  <c r="AP281" i="310"/>
  <c r="BU272" i="310"/>
  <c r="AP271" i="310"/>
  <c r="AQ271" i="310"/>
  <c r="BU282" i="310"/>
  <c r="BQ268" i="310"/>
  <c r="G8" i="322" a="1"/>
  <c r="G8" i="322" s="1"/>
  <c r="G7" i="322" a="1"/>
  <c r="G7" i="322" s="1"/>
  <c r="G14" i="322" a="1"/>
  <c r="G14" i="322" s="1"/>
  <c r="G13" i="322" a="1"/>
  <c r="G13" i="322" s="1"/>
  <c r="G12" i="322" a="1"/>
  <c r="G12" i="322" s="1"/>
  <c r="G11" i="322" a="1"/>
  <c r="G11" i="322" s="1"/>
  <c r="G10" i="322" a="1"/>
  <c r="G10" i="322" s="1"/>
  <c r="W294" i="310" l="1"/>
  <c r="AT279" i="310"/>
  <c r="BU279" i="3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<sst xmlns="http://schemas.openxmlformats.org/spreadsheetml/2006/main" count="1688" uniqueCount="114">
  <si>
    <t>Aluminium</t>
  </si>
  <si>
    <t>Bauxite</t>
  </si>
  <si>
    <t>Cobalt</t>
  </si>
  <si>
    <t>Copper</t>
  </si>
  <si>
    <t>Gold</t>
  </si>
  <si>
    <t>Lead</t>
  </si>
  <si>
    <t>Molybdenum</t>
  </si>
  <si>
    <t>Nickel</t>
  </si>
  <si>
    <t>Silver</t>
  </si>
  <si>
    <t>Zinc</t>
  </si>
  <si>
    <t>Total Global Production</t>
  </si>
  <si>
    <t>Unit</t>
  </si>
  <si>
    <t>Alumina</t>
  </si>
  <si>
    <t>Thermal</t>
  </si>
  <si>
    <t>Metallurgical</t>
  </si>
  <si>
    <t>Copper Ore</t>
  </si>
  <si>
    <t>Blister Copper</t>
  </si>
  <si>
    <t>Copper Cathode</t>
  </si>
  <si>
    <t>Iron Ore</t>
  </si>
  <si>
    <t>Lithium</t>
  </si>
  <si>
    <t>Steel</t>
  </si>
  <si>
    <t>Zinc Ore</t>
  </si>
  <si>
    <t>Zinc Metal</t>
  </si>
  <si>
    <t>Total Global Scope 1 Emissions</t>
  </si>
  <si>
    <t>Total Global Scope 2 Emissions</t>
  </si>
  <si>
    <t>Total Global Scope 1 and 2 Emissions</t>
  </si>
  <si>
    <t>Total Emissions Intensity</t>
  </si>
  <si>
    <t>Price</t>
  </si>
  <si>
    <t>Total Production Value</t>
  </si>
  <si>
    <t>Emissions Value</t>
  </si>
  <si>
    <t>Global production figures result from Wood Mackenzie’s proprietary market forecast (please see page 18 of the Global Mining &amp; Metals GHG Emissions Dataset Report for details).</t>
  </si>
  <si>
    <t>North America</t>
  </si>
  <si>
    <t>kt CO2e</t>
  </si>
  <si>
    <t>Central Eurasia</t>
  </si>
  <si>
    <t>South and Central America</t>
  </si>
  <si>
    <t>Asia</t>
  </si>
  <si>
    <t>Africa</t>
  </si>
  <si>
    <t>Europe</t>
  </si>
  <si>
    <t>Oceania</t>
  </si>
  <si>
    <t>Middle East</t>
  </si>
  <si>
    <t>Total</t>
  </si>
  <si>
    <t>Zine Ore</t>
  </si>
  <si>
    <t>Nickel Mine</t>
  </si>
  <si>
    <t>Nickel Products</t>
  </si>
  <si>
    <t>Thermal Coal</t>
  </si>
  <si>
    <t>Metallurgical Coal</t>
  </si>
  <si>
    <t>Platinum Group Metals</t>
  </si>
  <si>
    <t>Ktpa</t>
  </si>
  <si>
    <t>US$/t</t>
  </si>
  <si>
    <t>$billion</t>
  </si>
  <si>
    <t>Mt CO2e / $B</t>
  </si>
  <si>
    <t>Gold*</t>
  </si>
  <si>
    <t>Total Scope 1 and 2 Emissions</t>
  </si>
  <si>
    <t>* Source: World Gold Council, 2020 - 2024. 2025 Estimated, Wood Mackenzie analysis.</t>
  </si>
  <si>
    <t>Thermal Coal Methane Emissions</t>
  </si>
  <si>
    <t>Metallurgical Coal Methane Emissions</t>
  </si>
  <si>
    <t>Sector</t>
  </si>
  <si>
    <t>Region</t>
  </si>
  <si>
    <t>Note: The 2025 emissions data is projected using Wood Mackenzie’s most recent asset-level reports. The latest company data was incorporated into asset-level cost models, which then feed into emissions models. For most prices, the 2025 price assumptions are derived from Wood Mackenzie’s Market services (except for gold - see footnote in the price section). Wood Mackenzie’s Market Services forecast prices using a combination of detailed supply–demand modelling, asset-level data, and macroeconomic assumptions.</t>
  </si>
  <si>
    <t xml:space="preserve"> </t>
  </si>
  <si>
    <t>t CO2e / t</t>
  </si>
  <si>
    <t>Cross Sector Scope 1 Emissions</t>
  </si>
  <si>
    <t>Source: Wood Mackenzie analysis, EDGAR.</t>
  </si>
  <si>
    <t>Power Industry*</t>
  </si>
  <si>
    <t>Absolute scope 1 emissions Gt CO2e</t>
  </si>
  <si>
    <t>% of Global GHG emissions</t>
  </si>
  <si>
    <t>Transport</t>
  </si>
  <si>
    <t>Agriculture</t>
  </si>
  <si>
    <t>Fuel Exploitation</t>
  </si>
  <si>
    <t>Other Industrial Combustion and Processes</t>
  </si>
  <si>
    <t>Mining and Metals</t>
  </si>
  <si>
    <t>Buildings</t>
  </si>
  <si>
    <t>Waste</t>
  </si>
  <si>
    <t>Mining Scope 1 Emissions Gt CO2e</t>
  </si>
  <si>
    <t>Metals Scope 1 Emissions Gt CO2e</t>
  </si>
  <si>
    <t>Metals and Mining Scope 2 Emissions Gt CO2e</t>
  </si>
  <si>
    <t>*Power industry GHG emissions are those associated with heat or electricity generation from plants (e.g.,fossil fuels, biofuels and renewable sources), and therefore, GHG emissions from purchased power are the Scope 2 emissions of other sectors.</t>
  </si>
  <si>
    <t xml:space="preserve"> % of power industry GHG emissions</t>
  </si>
  <si>
    <t>Scope 2 emissions were calculated using country-level power mixes (location-based) and are therefore not directly comparable to market-based Scope 2 figures often reported in corporate inventories.</t>
  </si>
  <si>
    <t>Global Mining &amp; Metals GHG Emissions Dataset 2026</t>
  </si>
  <si>
    <r>
      <rPr>
        <b/>
        <sz val="11"/>
        <rFont val="Aptos Narrow"/>
        <family val="2"/>
      </rPr>
      <t>Disclaimer</t>
    </r>
    <r>
      <rPr>
        <sz val="11"/>
        <rFont val="Aptos Narrow"/>
        <family val="2"/>
      </rPr>
      <t xml:space="preserve">
This product is provided subject to the Disclaimer of Warranties and Limitation of Liability in section 5 of the Creative Commons Attribution 4.0 International Licence. Therefore, you should not solely rely on this information for any purpose.</t>
    </r>
  </si>
  <si>
    <r>
      <t xml:space="preserve">Note: ICMM welcomes additional data or suggested refinements. Email us directly: </t>
    </r>
    <r>
      <rPr>
        <b/>
        <u/>
        <sz val="11"/>
        <color rgb="FF003C3C"/>
        <rFont val="Aptos Narrow"/>
        <family val="2"/>
      </rPr>
      <t>data@icmm.com</t>
    </r>
    <r>
      <rPr>
        <sz val="11"/>
        <rFont val="Aptos Narrow"/>
        <family val="2"/>
      </rPr>
      <t>.</t>
    </r>
  </si>
  <si>
    <t>Important Defininitions</t>
  </si>
  <si>
    <r>
      <rPr>
        <b/>
        <i/>
        <sz val="11"/>
        <color rgb="FF000000"/>
        <rFont val="Aptos Narrow"/>
        <family val="2"/>
      </rPr>
      <t>Greenhouse gases (GHGs)</t>
    </r>
    <r>
      <rPr>
        <i/>
        <sz val="11"/>
        <color rgb="FF000000"/>
        <rFont val="Aptos Narrow"/>
        <family val="2"/>
      </rPr>
      <t xml:space="preserve"> </t>
    </r>
  </si>
  <si>
    <r>
      <t>Carbon dioxide equivalent (CO</t>
    </r>
    <r>
      <rPr>
        <b/>
        <i/>
        <vertAlign val="subscript"/>
        <sz val="11"/>
        <color rgb="FF000000"/>
        <rFont val="Aptos Narrow"/>
        <family val="2"/>
      </rPr>
      <t>2</t>
    </r>
    <r>
      <rPr>
        <b/>
        <i/>
        <sz val="11"/>
        <color rgb="FF000000"/>
        <rFont val="Aptos Narrow"/>
        <family val="2"/>
      </rPr>
      <t>e)</t>
    </r>
    <r>
      <rPr>
        <b/>
        <sz val="11"/>
        <color rgb="FF000000"/>
        <rFont val="Aptos Narrow"/>
        <family val="2"/>
      </rPr>
      <t xml:space="preserve"> </t>
    </r>
  </si>
  <si>
    <t xml:space="preserve">A measure that is used to standardise and compare GHGs based 
on their global warming potential. </t>
  </si>
  <si>
    <t xml:space="preserve">Absolute emissions </t>
  </si>
  <si>
    <r>
      <t>The total amount of GHGs released, measured as CO</t>
    </r>
    <r>
      <rPr>
        <vertAlign val="subscript"/>
        <sz val="11"/>
        <rFont val="Aptos Narrow"/>
        <family val="2"/>
      </rPr>
      <t>2</t>
    </r>
    <r>
      <rPr>
        <sz val="11"/>
        <rFont val="Aptos Narrow"/>
        <family val="2"/>
      </rPr>
      <t xml:space="preserve">e. </t>
    </r>
  </si>
  <si>
    <t>Emission intensity</t>
  </si>
  <si>
    <t xml:space="preserve">The amount of GHG emissions produced per unit of end product. </t>
  </si>
  <si>
    <t xml:space="preserve">Account of direct GHG emissions occurring from sources that are owned or controlled by an organisation or country, for example, emissions from combustion in owned or controlled boilers, furnaces, vehicles, emissions from chemical production in owned or controlled process equipment, or fugitive emissions such as those that escape from the Earth during surface disturbance. </t>
  </si>
  <si>
    <r>
      <t>Scope 1</t>
    </r>
    <r>
      <rPr>
        <b/>
        <sz val="11"/>
        <rFont val="Aptos Narrow"/>
        <family val="2"/>
      </rPr>
      <t xml:space="preserve"> </t>
    </r>
    <r>
      <rPr>
        <b/>
        <i/>
        <sz val="11"/>
        <rFont val="Aptos Narrow"/>
        <family val="2"/>
      </rPr>
      <t>emissions</t>
    </r>
  </si>
  <si>
    <t xml:space="preserve">Account for indirect GHG emissions from the generation of purchased electricity consumed by an organisation or country, so electricity that is either purchased or otherwise brought into the organisational boundary of the company. Scope 2 emissions physically occur at the facility where electricity is generated. </t>
  </si>
  <si>
    <t>Scope 2 emissions</t>
  </si>
  <si>
    <t>Regional groupings</t>
  </si>
  <si>
    <t>Country/region</t>
  </si>
  <si>
    <t xml:space="preserve">North America  </t>
  </si>
  <si>
    <t xml:space="preserve">Canada, United States, Mexico </t>
  </si>
  <si>
    <t xml:space="preserve">Central Eurasia  </t>
  </si>
  <si>
    <t xml:space="preserve">Russian Federation, Kazakhstan, Azerbaijan, Turkmenistan, Armenia, Georgia, Uzbekistan, Tajikistan, Kyrgyzstan </t>
  </si>
  <si>
    <t>South and Central America  </t>
  </si>
  <si>
    <t xml:space="preserve">Belize, Costa Rica, El Salvador, Guatemala, Honduras, Nicaragua, Panama, Bahamas, Cuba, Dominican Republic, Haiti, Jamaica, Trinidad and Tobago, Barbados, Grenada, Antigua and Barbuda, Dominica, Saint Lucia, Saint Vincent and the Grenadines, Argentina, Bolivia, Brazil, Chile, Colombia, Ecuador, Guyana, Paraguay, Peru, Suriname, Uruguay, Venezuela </t>
  </si>
  <si>
    <t xml:space="preserve">Asia </t>
  </si>
  <si>
    <t xml:space="preserve">Afghanistan, Bangladesh, Bhutan, Brunei, Cambodia, China, East Timor, India, Indonesia, Japan, Laos, Malaysia, Maldives, Mongolia, Myanmar, Nepal, North Korea, Pakistan, Philippines, Singapore, South Korea, Sri Lanka, Taiwan, Thailand, Vietnam </t>
  </si>
  <si>
    <t xml:space="preserve">Africa and the Middle East  </t>
  </si>
  <si>
    <t xml:space="preserve">Algeria, Angola, Benin, Botswana, Burkina Faso, Burundi, Cabo Verde, Cameroon, Central African Republic, Chad, Comoros, Cote d'Ivoire, Democratic Republic of the Congo, Djibouti, Egypt, Equatorial Guinea, Eritrea, Eswatini, Ethiopia, Gabon, Gambia, Ghana, Guinea, Guinea-Bissau, Kenya, Lesotho, Liberia, Libya, Madagascar, Malawi, Mali, Mauritania, Mauritius, Morocco, Mozambique, Namibia, Niger, Nigeria, Republic of the Congo, Rwanda, Sao Tome and Principe, Senegal, Seychelles, Sierra Leone, Somalia, South Africa, South Sudan, Sudan, Tanzania, Togo, Tunisia, Uganda, Western Sahara, Zambia, Zimbabwe, Bahrain, Iran, Iraq, Israel, Jordan, Kuwait, Lebanon, Oman, Qatar, Saudi Arabia, Syria, United Arab Emirates, Yemen </t>
  </si>
  <si>
    <t xml:space="preserve">Europe </t>
  </si>
  <si>
    <t xml:space="preserve">Albania, Andorra, Austria, Belarus, Belgium, Bosnia and Herzegovina, Bulgaria, Croatia, Czech Republic, Denmark, Estonia, Finland, France, Germany, Greece, Greenland, Hungary, Iceland, Ireland, Italy, Kosovo, Latvia, Liechtenstein, Lithuania, Luxembourg, Malta, Moldova, Montenegro, Netherlands, North Macedonia, Norway, Poland, Portugal, Romania, Serbia, Slovakia, Slovenia, Spain, Sweden, Switzerland, Turkey, Ukraine, United Kingdom </t>
  </si>
  <si>
    <t xml:space="preserve">Oceania </t>
  </si>
  <si>
    <t xml:space="preserve">Australia, Fiji, Kiribati, Micronesia, New Caledonia, New Zealand, Papua New Guinea, Solomon Islands, Vanuatu, Samoa, Tonga </t>
  </si>
  <si>
    <t>Recommended Citation: "ICMM Global Mining &amp; Metals GHG Emissions Dataset 2026 (V1) release"</t>
  </si>
  <si>
    <t xml:space="preserve">Gases in the Earth’s atmosphere that trap heat. They absorb and release energy  from the Earth’s surface, the atmosphere itself, and clouds. This trapping of heat is called the greenhouse effect. When the amount of these gases in the atmosphere increases, it makes the Earth warmer, leading to global warming and climate change.  The most abundant GHGs are carbon dioxide (CO2), methane (CH4) and nitrous oxide (N2O). Less prevalent - but powerful - GHGs are hydrofluorocarbons (HFCs), perfluorocarbons (PFCs) and sulphur hexafluoride (SF6). </t>
  </si>
  <si>
    <r>
      <rPr>
        <sz val="11"/>
        <rFont val="Aptos Narrow"/>
        <family val="2"/>
      </rPr>
      <t xml:space="preserve">Contact: </t>
    </r>
    <r>
      <rPr>
        <b/>
        <u/>
        <sz val="11"/>
        <color rgb="FF003C3C"/>
        <rFont val="Aptos Narrow"/>
        <family val="2"/>
      </rPr>
      <t>data@icmm.com</t>
    </r>
  </si>
  <si>
    <r>
      <rPr>
        <b/>
        <sz val="11"/>
        <rFont val="Aptos Narrow"/>
        <family val="2"/>
      </rPr>
      <t>Methodology / Limitations:</t>
    </r>
    <r>
      <rPr>
        <sz val="11"/>
        <rFont val="Aptos Narrow"/>
        <family val="2"/>
      </rPr>
      <t xml:space="preserve">
1. For the Methodology see Appendix in the </t>
    </r>
    <r>
      <rPr>
        <b/>
        <u/>
        <sz val="11"/>
        <color rgb="FF003C3C"/>
        <rFont val="Aptos Narrow"/>
        <family val="2"/>
      </rPr>
      <t>Global Mining &amp; Metals GHG Emissions Dataset</t>
    </r>
    <r>
      <rPr>
        <sz val="11"/>
        <rFont val="Aptos Narrow"/>
        <family val="2"/>
      </rPr>
      <t xml:space="preserve">. Commodities covered in this dataset include aluminium, coal, cobalt, copper, gold, iron ore, lead, lithium, molybdenum, nickel, platinum group metals (platinum, palladium, rhodium, iridium, osmium, and ruthenium), silver, steel, and zinc.
2. Only Scope 1 and 2 emissions are considered in this analysis.
3. GHG emissions from the refining of gold, silver, molybdenum, cobalt, platinum group metals (PGMs) and lead were not estimated in this research due to the absence of reliable data on refining of these metals.
4. Facility-level GHG emissions data are not available evenly at a regional or commodity level; gaps in GHG emissions from the production not covered by facility-level data were approximated using regional averages for each commodity. 
5. Hydrofluorocarbons (HFCs) and sulphur hexafluoride (SF6) are not covered in this analysis. 
6. Commodities in ICMM’s Global Mining Dataset (2026) that are not included in this Global Mining and Metals GHG Emissions Dataset and report include antimony, barium, borates, boron, chromite, chromium, diamond, ferroalloys, fluorspar, graphite, heavy mineral sands, manganese, mercury, niobium, phosphate, potash, rare earth elements, tantalum, tin, titanium, tungsten, uranium and vanadium. Production volumes of these commodiites are minor compared to those covered in this dataset, and data availability around GHG emissions is also relatively low.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</si>
</sst>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_(&quot;$&quot;* #,##0.00_);_(&quot;$&quot;* \(#,##0.00\);_(&quot;$&quot;* &quot;-&quot;??_);_(@_)"/>
    <numFmt numFmtId="165" formatCode="_(* #,##0.00_);_(* \(#,##0.00\);_(* &quot;-&quot;??_);_(@_)"/>
    <numFmt numFmtId="166" formatCode="#,##0.0"/>
    <numFmt numFmtId="167" formatCode="#,##0.00_);\-#,##0.00_);\-_)"/>
    <numFmt numFmtId="168" formatCode="#,##0.0_);\-#,##0.0_);\-_)"/>
    <numFmt numFmtId="169" formatCode="#,##0_);\-#,##0_);\-_)"/>
    <numFmt numFmtId="170" formatCode="#,##0.00_%_);\(#,##0.00\)_%;#,##0.00_%_);@_%_)"/>
    <numFmt numFmtId="171" formatCode="0_ ;\-0\ "/>
    <numFmt numFmtId="172" formatCode="_-* #,##0_-;\-* #,##0_-;_-* &quot;-&quot;??_-;_-@_-"/>
    <numFmt numFmtId="173" formatCode="_-* #,##0.0_-;\-* #,##0.0_-;_-* &quot;-&quot;??_-;_-@_-"/>
    <numFmt numFmtId="174" formatCode="#,##0.000000_ ;\-#,##0.000000\ "/>
    <numFmt numFmtId="175" formatCode="_-* #,##0.00000_-;\-* #,##0.00000_-;_-* &quot;-&quot;??_-;_-@_-"/>
    <numFmt numFmtId="176" formatCode="#,##0.00000000_ ;\-#,##0.00000000\ "/>
  </numFmts>
  <fonts count="83">
    <font>
      <sz val="8"/>
      <name val="Arial"/>
      <family val="2"/>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9"/>
      <name val="Arial"/>
      <family val="2"/>
    </font>
    <font>
      <b/>
      <sz val="12"/>
      <name val="Arial"/>
      <family val="2"/>
    </font>
    <font>
      <b/>
      <sz val="9"/>
      <color indexed="18"/>
      <name val="Arial"/>
      <family val="2"/>
    </font>
    <font>
      <sz val="8"/>
      <name val="Arial"/>
      <family val="2"/>
    </font>
    <font>
      <b/>
      <sz val="8"/>
      <color indexed="18"/>
      <name val="Arial"/>
      <family val="2"/>
    </font>
    <font>
      <b/>
      <sz val="12"/>
      <color indexed="18"/>
      <name val="Arial"/>
      <family val="2"/>
    </font>
    <font>
      <b/>
      <sz val="14"/>
      <color indexed="8"/>
      <name val="Arial"/>
      <family val="2"/>
    </font>
    <font>
      <b/>
      <sz val="16"/>
      <name val="Arial"/>
      <family val="2"/>
    </font>
    <font>
      <sz val="10"/>
      <name val="Arial"/>
      <family val="2"/>
    </font>
    <font>
      <sz val="8"/>
      <name val="Palatino"/>
      <family val="1"/>
    </font>
    <font>
      <sz val="11"/>
      <color indexed="8"/>
      <name val="Calibri"/>
      <family val="2"/>
    </font>
    <font>
      <sz val="11"/>
      <color indexed="9"/>
      <name val="Calibri"/>
      <family val="2"/>
    </font>
    <font>
      <sz val="11"/>
      <color indexed="20"/>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b/>
      <sz val="11"/>
      <color indexed="63"/>
      <name val="Calibri"/>
      <family val="2"/>
    </font>
    <font>
      <b/>
      <sz val="11"/>
      <color indexed="8"/>
      <name val="Calibri"/>
      <family val="2"/>
    </font>
    <font>
      <sz val="11"/>
      <color indexed="10"/>
      <name val="Calibri"/>
      <family val="2"/>
    </font>
    <font>
      <b/>
      <sz val="11"/>
      <color indexed="10"/>
      <name val="Calibri"/>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b/>
      <sz val="18"/>
      <color indexed="62"/>
      <name val="Cambria"/>
      <family val="1"/>
    </font>
    <font>
      <sz val="11"/>
      <name val="ＭＳ Ｐゴシック"/>
      <family val="2"/>
      <charset val="128"/>
    </font>
    <font>
      <sz val="12"/>
      <name val="宋体"/>
      <charset val="134"/>
    </font>
    <font>
      <sz val="11"/>
      <color theme="1"/>
      <name val="Arial"/>
      <family val="2"/>
      <scheme val="minor"/>
    </font>
    <font>
      <sz val="11"/>
      <color theme="1"/>
      <name val="Arial"/>
      <family val="2"/>
    </font>
    <font>
      <sz val="10"/>
      <name val="Arial"/>
      <family val="2"/>
    </font>
    <font>
      <sz val="11"/>
      <name val="Arial"/>
      <family val="2"/>
      <scheme val="minor"/>
    </font>
    <font>
      <u/>
      <sz val="11"/>
      <color theme="10"/>
      <name val="Arial"/>
      <family val="2"/>
      <scheme val="minor"/>
    </font>
    <font>
      <sz val="10"/>
      <color theme="1"/>
      <name val="Arial"/>
      <family val="2"/>
    </font>
    <font>
      <sz val="10"/>
      <color theme="1"/>
      <name val="Arial"/>
      <family val="2"/>
      <charset val="204"/>
    </font>
    <font>
      <sz val="11"/>
      <color indexed="8"/>
      <name val="Arial"/>
      <family val="2"/>
      <scheme val="min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8"/>
      <color theme="3"/>
      <name val="Arial"/>
      <family val="2"/>
      <scheme val="major"/>
    </font>
    <font>
      <sz val="11"/>
      <color theme="1"/>
      <name val="Aptos Narrow"/>
      <family val="2"/>
    </font>
    <font>
      <b/>
      <sz val="11"/>
      <color theme="1"/>
      <name val="Aptos Narrow"/>
      <family val="2"/>
    </font>
    <font>
      <b/>
      <sz val="11"/>
      <color theme="0"/>
      <name val="Aptos Narrow"/>
      <family val="2"/>
    </font>
    <font>
      <b/>
      <sz val="11"/>
      <name val="Aptos Narrow"/>
      <family val="2"/>
    </font>
    <font>
      <sz val="11"/>
      <name val="Aptos Narrow"/>
      <family val="2"/>
    </font>
    <font>
      <u/>
      <sz val="8"/>
      <color theme="10"/>
      <name val="Arial"/>
      <family val="2"/>
    </font>
    <font>
      <i/>
      <sz val="11"/>
      <name val="Aptos Narrow"/>
      <family val="2"/>
    </font>
    <font>
      <b/>
      <u/>
      <sz val="11"/>
      <color rgb="FF003C3C"/>
      <name val="Aptos Narrow"/>
      <family val="2"/>
    </font>
    <font>
      <b/>
      <u/>
      <sz val="11"/>
      <name val="Aptos Narrow"/>
      <family val="2"/>
    </font>
    <font>
      <vertAlign val="subscript"/>
      <sz val="11"/>
      <name val="Aptos Narrow"/>
      <family val="2"/>
    </font>
    <font>
      <i/>
      <sz val="11"/>
      <color rgb="FF000000"/>
      <name val="Aptos Narrow"/>
      <family val="2"/>
    </font>
    <font>
      <b/>
      <i/>
      <sz val="11"/>
      <color rgb="FF000000"/>
      <name val="Aptos Narrow"/>
      <family val="2"/>
    </font>
    <font>
      <b/>
      <i/>
      <vertAlign val="subscript"/>
      <sz val="11"/>
      <color rgb="FF000000"/>
      <name val="Aptos Narrow"/>
      <family val="2"/>
    </font>
    <font>
      <b/>
      <sz val="11"/>
      <color rgb="FF000000"/>
      <name val="Aptos Narrow"/>
      <family val="2"/>
    </font>
    <font>
      <b/>
      <i/>
      <sz val="11"/>
      <name val="Aptos Narrow"/>
      <family val="2"/>
    </font>
    <font>
      <sz val="11"/>
      <color rgb="FF000000"/>
      <name val="Aptos Narrow"/>
      <family val="2"/>
    </font>
    <font>
      <sz val="9"/>
      <name val="Aptos Narrow"/>
      <family val="2"/>
    </font>
    <font>
      <b/>
      <sz val="12"/>
      <name val="Aptos Narrow"/>
      <family val="2"/>
    </font>
    <font>
      <sz val="12"/>
      <name val="Aptos Narrow"/>
      <family val="2"/>
    </font>
    <font>
      <u/>
      <sz val="11"/>
      <color rgb="FF003C3C"/>
      <name val="Aptos Narrow"/>
      <family val="2"/>
    </font>
  </fonts>
  <fills count="57">
    <fill>
      <patternFill patternType="none"/>
    </fill>
    <fill>
      <patternFill patternType="gray125"/>
    </fill>
    <fill>
      <patternFill patternType="solid">
        <fgColor indexed="44"/>
      </patternFill>
    </fill>
    <fill>
      <patternFill patternType="solid">
        <fgColor indexed="29"/>
      </patternFill>
    </fill>
    <fill>
      <patternFill patternType="solid">
        <fgColor indexed="51"/>
      </patternFill>
    </fill>
    <fill>
      <patternFill patternType="solid">
        <fgColor indexed="26"/>
      </patternFill>
    </fill>
    <fill>
      <patternFill patternType="solid">
        <fgColor indexed="47"/>
      </patternFill>
    </fill>
    <fill>
      <patternFill patternType="solid">
        <fgColor indexed="27"/>
      </patternFill>
    </fill>
    <fill>
      <patternFill patternType="solid">
        <fgColor indexed="9"/>
      </patternFill>
    </fill>
    <fill>
      <patternFill patternType="solid">
        <fgColor indexed="43"/>
      </patternFill>
    </fill>
    <fill>
      <patternFill patternType="solid">
        <fgColor indexed="56"/>
      </patternFill>
    </fill>
    <fill>
      <patternFill patternType="solid">
        <fgColor indexed="45"/>
      </patternFill>
    </fill>
    <fill>
      <patternFill patternType="solid">
        <fgColor indexed="53"/>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55"/>
      </patternFill>
    </fill>
    <fill>
      <patternFill patternType="solid">
        <fgColor theme="0"/>
        <bgColor indexed="64"/>
      </patternFill>
    </fill>
    <fill>
      <patternFill patternType="solid">
        <fgColor theme="0" tint="-4.9989318521683403E-2"/>
        <bgColor indexed="64"/>
      </patternFill>
    </fill>
    <fill>
      <patternFill patternType="solid">
        <fgColor rgb="FF0024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FFFFFF"/>
        <bgColor rgb="FFFFFFFF"/>
      </patternFill>
    </fill>
    <fill>
      <patternFill patternType="solid">
        <fgColor rgb="FFD9D9D9"/>
        <bgColor rgb="FF000000"/>
      </patternFill>
    </fill>
    <fill>
      <patternFill patternType="solid">
        <fgColor theme="3" tint="0.79998168889431442"/>
        <bgColor indexed="64"/>
      </patternFill>
    </fill>
    <fill>
      <patternFill patternType="solid">
        <fgColor theme="9" tint="0.79998168889431442"/>
        <bgColor indexed="64"/>
      </patternFill>
    </fill>
  </fills>
  <borders count="4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4"/>
      </top>
      <bottom style="medium">
        <color indexed="64"/>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bottom>
      <diagonal/>
    </border>
    <border>
      <left/>
      <right/>
      <top/>
      <bottom style="medium">
        <color rgb="FF0001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medium">
        <color rgb="FF000163"/>
      </top>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395">
    <xf numFmtId="0" fontId="0" fillId="0" borderId="0"/>
    <xf numFmtId="0" fontId="21" fillId="2" borderId="0" applyNumberFormat="0" applyBorder="0" applyAlignment="0" applyProtection="0"/>
    <xf numFmtId="0" fontId="21" fillId="3"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5" borderId="0" applyNumberFormat="0" applyBorder="0" applyAlignment="0" applyProtection="0"/>
    <xf numFmtId="0" fontId="21" fillId="7" borderId="0" applyNumberFormat="0" applyBorder="0" applyAlignment="0" applyProtection="0"/>
    <xf numFmtId="0" fontId="21" fillId="3" borderId="0" applyNumberFormat="0" applyBorder="0" applyAlignment="0" applyProtection="0"/>
    <xf numFmtId="0" fontId="21" fillId="9" borderId="0" applyNumberFormat="0" applyBorder="0" applyAlignment="0" applyProtection="0"/>
    <xf numFmtId="0" fontId="21" fillId="11" borderId="0" applyNumberFormat="0" applyBorder="0" applyAlignment="0" applyProtection="0"/>
    <xf numFmtId="0" fontId="21" fillId="7" borderId="0" applyNumberFormat="0" applyBorder="0" applyAlignment="0" applyProtection="0"/>
    <xf numFmtId="0" fontId="21" fillId="5" borderId="0" applyNumberFormat="0" applyBorder="0" applyAlignment="0" applyProtection="0"/>
    <xf numFmtId="0" fontId="22" fillId="7" borderId="0" applyNumberFormat="0" applyBorder="0" applyAlignment="0" applyProtection="0"/>
    <xf numFmtId="0" fontId="22" fillId="12" borderId="0" applyNumberFormat="0" applyBorder="0" applyAlignment="0" applyProtection="0"/>
    <xf numFmtId="0" fontId="22" fillId="4" borderId="0" applyNumberFormat="0" applyBorder="0" applyAlignment="0" applyProtection="0"/>
    <xf numFmtId="0" fontId="22" fillId="11" borderId="0" applyNumberFormat="0" applyBorder="0" applyAlignment="0" applyProtection="0"/>
    <xf numFmtId="0" fontId="22" fillId="7" borderId="0" applyNumberFormat="0" applyBorder="0" applyAlignment="0" applyProtection="0"/>
    <xf numFmtId="0" fontId="22" fillId="3" borderId="0" applyNumberFormat="0" applyBorder="0" applyAlignment="0" applyProtection="0"/>
    <xf numFmtId="0" fontId="22" fillId="10" borderId="0" applyNumberFormat="0" applyBorder="0" applyAlignment="0" applyProtection="0"/>
    <xf numFmtId="0" fontId="22" fillId="12" borderId="0" applyNumberFormat="0" applyBorder="0" applyAlignment="0" applyProtection="0"/>
    <xf numFmtId="0" fontId="22" fillId="4"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3" fillId="16" borderId="0" applyNumberFormat="0" applyBorder="0" applyAlignment="0" applyProtection="0"/>
    <xf numFmtId="0" fontId="31" fillId="8" borderId="1" applyNumberFormat="0" applyAlignment="0" applyProtection="0"/>
    <xf numFmtId="0" fontId="24" fillId="17" borderId="2" applyNumberFormat="0" applyAlignment="0" applyProtection="0"/>
    <xf numFmtId="1" fontId="13" fillId="0" borderId="3">
      <alignment vertical="top"/>
    </xf>
    <xf numFmtId="170" fontId="20" fillId="0" borderId="0" applyFont="0" applyFill="0" applyBorder="0" applyAlignment="0" applyProtection="0">
      <alignment horizontal="right"/>
    </xf>
    <xf numFmtId="166" fontId="17" fillId="0" borderId="0"/>
    <xf numFmtId="0" fontId="25" fillId="0" borderId="0" applyNumberFormat="0" applyFill="0" applyBorder="0" applyAlignment="0" applyProtection="0"/>
    <xf numFmtId="166" fontId="14" fillId="0" borderId="0"/>
    <xf numFmtId="0" fontId="26" fillId="7" borderId="0" applyNumberFormat="0" applyBorder="0" applyAlignment="0" applyProtection="0"/>
    <xf numFmtId="0" fontId="32" fillId="0" borderId="4" applyNumberFormat="0" applyFill="0" applyAlignment="0" applyProtection="0"/>
    <xf numFmtId="0" fontId="33" fillId="0" borderId="5" applyNumberFormat="0" applyFill="0" applyAlignment="0" applyProtection="0"/>
    <xf numFmtId="0" fontId="34" fillId="0" borderId="6" applyNumberFormat="0" applyFill="0" applyAlignment="0" applyProtection="0"/>
    <xf numFmtId="0" fontId="34" fillId="0" borderId="0" applyNumberFormat="0" applyFill="0" applyBorder="0" applyAlignment="0" applyProtection="0"/>
    <xf numFmtId="0" fontId="27" fillId="9" borderId="1" applyNumberFormat="0" applyAlignment="0" applyProtection="0"/>
    <xf numFmtId="0" fontId="30" fillId="0" borderId="7" applyNumberFormat="0" applyFill="0" applyAlignment="0" applyProtection="0"/>
    <xf numFmtId="0" fontId="35" fillId="9" borderId="0" applyNumberFormat="0" applyBorder="0" applyAlignment="0" applyProtection="0"/>
    <xf numFmtId="169" fontId="14" fillId="0" borderId="0"/>
    <xf numFmtId="167" fontId="14"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9" fillId="0" borderId="0"/>
    <xf numFmtId="0" fontId="1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8" fillId="0" borderId="0">
      <alignment vertical="center"/>
    </xf>
    <xf numFmtId="0" fontId="40" fillId="0" borderId="0"/>
    <xf numFmtId="0" fontId="19" fillId="0" borderId="0"/>
    <xf numFmtId="0" fontId="39" fillId="0" borderId="0"/>
    <xf numFmtId="0" fontId="19" fillId="0" borderId="0"/>
    <xf numFmtId="168" fontId="14" fillId="0" borderId="0"/>
    <xf numFmtId="0" fontId="39" fillId="0" borderId="0"/>
    <xf numFmtId="0" fontId="19" fillId="0" borderId="0"/>
    <xf numFmtId="0" fontId="39" fillId="0" borderId="0"/>
    <xf numFmtId="0" fontId="19" fillId="0" borderId="0"/>
    <xf numFmtId="0" fontId="39" fillId="0" borderId="0"/>
    <xf numFmtId="0" fontId="19" fillId="0" borderId="0"/>
    <xf numFmtId="0" fontId="39" fillId="0" borderId="0"/>
    <xf numFmtId="0" fontId="39" fillId="0" borderId="0"/>
    <xf numFmtId="0" fontId="19" fillId="0" borderId="0"/>
    <xf numFmtId="0" fontId="39" fillId="0" borderId="0"/>
    <xf numFmtId="0" fontId="39" fillId="0" borderId="0"/>
    <xf numFmtId="0" fontId="39" fillId="0" borderId="0"/>
    <xf numFmtId="0" fontId="39" fillId="0" borderId="0"/>
    <xf numFmtId="0" fontId="39" fillId="0" borderId="0"/>
    <xf numFmtId="0" fontId="1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9" fillId="5" borderId="8" applyNumberFormat="0" applyFont="0" applyAlignment="0" applyProtection="0"/>
    <xf numFmtId="0" fontId="28" fillId="8" borderId="9" applyNumberForma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5" fillId="0" borderId="0"/>
    <xf numFmtId="0" fontId="19" fillId="0" borderId="0" applyFont="0" applyFill="0" applyBorder="0" applyAlignment="0" applyProtection="0"/>
    <xf numFmtId="168" fontId="16" fillId="0" borderId="0"/>
    <xf numFmtId="166" fontId="12" fillId="0" borderId="0"/>
    <xf numFmtId="166" fontId="18" fillId="0" borderId="0"/>
    <xf numFmtId="0" fontId="36" fillId="0" borderId="0" applyNumberFormat="0" applyFill="0" applyBorder="0" applyAlignment="0" applyProtection="0"/>
    <xf numFmtId="0" fontId="29" fillId="0" borderId="10" applyNumberFormat="0" applyFill="0" applyAlignment="0" applyProtection="0"/>
    <xf numFmtId="168" fontId="13" fillId="0" borderId="11" applyAlignment="0">
      <alignment horizontal="right"/>
    </xf>
    <xf numFmtId="169" fontId="13" fillId="0" borderId="11" applyAlignment="0"/>
    <xf numFmtId="167" fontId="13" fillId="0" borderId="11" applyAlignment="0"/>
    <xf numFmtId="0" fontId="30" fillId="0" borderId="0" applyNumberFormat="0" applyFill="0" applyBorder="0" applyAlignment="0" applyProtection="0"/>
    <xf numFmtId="0" fontId="11" fillId="0" borderId="11" applyFont="0" applyFill="0" applyBorder="0" applyAlignment="0" applyProtection="0"/>
    <xf numFmtId="0" fontId="37" fillId="0" borderId="0"/>
    <xf numFmtId="0" fontId="10" fillId="0" borderId="0"/>
    <xf numFmtId="165" fontId="10" fillId="0" borderId="0" applyFont="0" applyFill="0" applyBorder="0" applyAlignment="0" applyProtection="0"/>
    <xf numFmtId="10" fontId="41" fillId="0" borderId="0" applyFont="0" applyFill="0" applyBorder="0" applyAlignment="0" applyProtection="0"/>
    <xf numFmtId="9" fontId="10" fillId="0" borderId="0" applyFont="0" applyFill="0" applyBorder="0" applyAlignment="0" applyProtection="0"/>
    <xf numFmtId="0" fontId="9" fillId="0" borderId="0"/>
    <xf numFmtId="9" fontId="9" fillId="0" borderId="0" applyFont="0" applyFill="0" applyBorder="0" applyAlignment="0" applyProtection="0"/>
    <xf numFmtId="0" fontId="43" fillId="0" borderId="0" applyNumberFormat="0" applyFill="0" applyBorder="0" applyAlignment="0" applyProtection="0"/>
    <xf numFmtId="0" fontId="44" fillId="0" borderId="0"/>
    <xf numFmtId="164" fontId="44" fillId="0" borderId="0" applyFont="0" applyFill="0" applyBorder="0" applyAlignment="0" applyProtection="0"/>
    <xf numFmtId="0" fontId="45" fillId="0" borderId="0"/>
    <xf numFmtId="165" fontId="44" fillId="0" borderId="0" applyFont="0" applyFill="0" applyBorder="0" applyAlignment="0" applyProtection="0"/>
    <xf numFmtId="9" fontId="44" fillId="0" borderId="0" applyFont="0" applyFill="0" applyBorder="0" applyAlignment="0" applyProtection="0"/>
    <xf numFmtId="0" fontId="42" fillId="0" borderId="0"/>
    <xf numFmtId="168" fontId="14" fillId="0" borderId="0"/>
    <xf numFmtId="168" fontId="14" fillId="0" borderId="0"/>
    <xf numFmtId="0" fontId="42" fillId="0" borderId="0"/>
    <xf numFmtId="43" fontId="14" fillId="0" borderId="0" applyFont="0" applyFill="0" applyBorder="0" applyAlignment="0" applyProtection="0"/>
    <xf numFmtId="0" fontId="42" fillId="0" borderId="0"/>
    <xf numFmtId="168" fontId="14" fillId="0" borderId="0"/>
    <xf numFmtId="0" fontId="14" fillId="0" borderId="0"/>
    <xf numFmtId="9" fontId="14" fillId="0" borderId="0" applyFont="0" applyFill="0" applyBorder="0" applyAlignment="0" applyProtection="0"/>
    <xf numFmtId="0" fontId="42" fillId="0" borderId="0"/>
    <xf numFmtId="0" fontId="42" fillId="0" borderId="0"/>
    <xf numFmtId="0" fontId="46" fillId="0" borderId="0"/>
    <xf numFmtId="43" fontId="46" fillId="0" borderId="0" applyFont="0" applyFill="0" applyBorder="0" applyAlignment="0" applyProtection="0"/>
    <xf numFmtId="9" fontId="46" fillId="0" borderId="0" applyFont="0" applyFill="0" applyBorder="0" applyAlignment="0" applyProtection="0"/>
    <xf numFmtId="0" fontId="42" fillId="0" borderId="0"/>
    <xf numFmtId="43" fontId="46" fillId="0" borderId="0" applyFont="0" applyFill="0" applyBorder="0" applyAlignment="0" applyProtection="0"/>
    <xf numFmtId="0" fontId="46" fillId="0" borderId="0"/>
    <xf numFmtId="9" fontId="8" fillId="0" borderId="0" applyFont="0" applyFill="0" applyBorder="0" applyAlignment="0" applyProtection="0"/>
    <xf numFmtId="0" fontId="19" fillId="0" borderId="0"/>
    <xf numFmtId="0" fontId="47" fillId="0" borderId="13" applyNumberFormat="0" applyFill="0" applyAlignment="0" applyProtection="0"/>
    <xf numFmtId="0" fontId="48" fillId="0" borderId="14" applyNumberFormat="0" applyFill="0" applyAlignment="0" applyProtection="0"/>
    <xf numFmtId="0" fontId="49" fillId="0" borderId="15" applyNumberFormat="0" applyFill="0" applyAlignment="0" applyProtection="0"/>
    <xf numFmtId="0" fontId="49" fillId="0" borderId="0" applyNumberFormat="0" applyFill="0" applyBorder="0" applyAlignment="0" applyProtection="0"/>
    <xf numFmtId="0" fontId="50" fillId="21" borderId="0" applyNumberFormat="0" applyBorder="0" applyAlignment="0" applyProtection="0"/>
    <xf numFmtId="0" fontId="51" fillId="22" borderId="0" applyNumberFormat="0" applyBorder="0" applyAlignment="0" applyProtection="0"/>
    <xf numFmtId="0" fontId="52" fillId="23" borderId="0" applyNumberFormat="0" applyBorder="0" applyAlignment="0" applyProtection="0"/>
    <xf numFmtId="0" fontId="53" fillId="24" borderId="16" applyNumberFormat="0" applyAlignment="0" applyProtection="0"/>
    <xf numFmtId="0" fontId="54" fillId="25" borderId="17" applyNumberFormat="0" applyAlignment="0" applyProtection="0"/>
    <xf numFmtId="0" fontId="55" fillId="25" borderId="16" applyNumberFormat="0" applyAlignment="0" applyProtection="0"/>
    <xf numFmtId="0" fontId="56" fillId="0" borderId="18" applyNumberFormat="0" applyFill="0" applyAlignment="0" applyProtection="0"/>
    <xf numFmtId="0" fontId="57" fillId="26" borderId="19" applyNumberFormat="0" applyAlignment="0" applyProtection="0"/>
    <xf numFmtId="0" fontId="58" fillId="0" borderId="0" applyNumberFormat="0" applyFill="0" applyBorder="0" applyAlignment="0" applyProtection="0"/>
    <xf numFmtId="0" fontId="59" fillId="0" borderId="0" applyNumberFormat="0" applyFill="0" applyBorder="0" applyAlignment="0" applyProtection="0"/>
    <xf numFmtId="0" fontId="60" fillId="0" borderId="21" applyNumberFormat="0" applyFill="0" applyAlignment="0" applyProtection="0"/>
    <xf numFmtId="0" fontId="61"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61"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61"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61" fillId="40"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61" fillId="44" borderId="0" applyNumberFormat="0" applyBorder="0" applyAlignment="0" applyProtection="0"/>
    <xf numFmtId="0" fontId="7" fillId="45"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61" fillId="48" borderId="0" applyNumberFormat="0" applyBorder="0" applyAlignment="0" applyProtection="0"/>
    <xf numFmtId="0" fontId="7" fillId="49"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0" borderId="0"/>
    <xf numFmtId="0" fontId="62" fillId="0" borderId="0" applyNumberFormat="0" applyFill="0" applyBorder="0" applyAlignment="0" applyProtection="0"/>
    <xf numFmtId="0" fontId="7" fillId="27" borderId="20" applyNumberFormat="0" applyFont="0" applyAlignment="0" applyProtection="0"/>
    <xf numFmtId="0" fontId="6" fillId="0" borderId="0"/>
    <xf numFmtId="0" fontId="6" fillId="0" borderId="0"/>
    <xf numFmtId="0" fontId="6" fillId="27" borderId="20" applyNumberFormat="0" applyFont="0" applyAlignment="0" applyProtection="0"/>
    <xf numFmtId="0" fontId="6"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5" borderId="0" applyNumberFormat="0" applyBorder="0" applyAlignment="0" applyProtection="0"/>
    <xf numFmtId="0" fontId="6" fillId="46" borderId="0" applyNumberFormat="0" applyBorder="0" applyAlignment="0" applyProtection="0"/>
    <xf numFmtId="0" fontId="6" fillId="47" borderId="0" applyNumberFormat="0" applyBorder="0" applyAlignment="0" applyProtection="0"/>
    <xf numFmtId="0" fontId="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5" fillId="0" borderId="0"/>
    <xf numFmtId="0" fontId="4"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42" fillId="0" borderId="0"/>
    <xf numFmtId="0" fontId="2" fillId="0" borderId="0"/>
    <xf numFmtId="0" fontId="42" fillId="0" borderId="0"/>
    <xf numFmtId="0" fontId="42" fillId="0" borderId="0"/>
    <xf numFmtId="0" fontId="42" fillId="0" borderId="0"/>
    <xf numFmtId="0" fontId="42" fillId="0" borderId="0"/>
    <xf numFmtId="0" fontId="42" fillId="0" borderId="0"/>
    <xf numFmtId="0" fontId="27" fillId="9" borderId="28" applyNumberFormat="0" applyAlignment="0" applyProtection="0"/>
    <xf numFmtId="0" fontId="28" fillId="8" borderId="34" applyNumberFormat="0" applyAlignment="0" applyProtection="0"/>
    <xf numFmtId="0" fontId="27" fillId="9" borderId="32"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5" borderId="29" applyNumberFormat="0" applyFont="0" applyAlignment="0" applyProtection="0"/>
    <xf numFmtId="0" fontId="28" fillId="8" borderId="30"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 fillId="8" borderId="24"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29" fillId="0" borderId="31" applyNumberFormat="0" applyFill="0" applyAlignment="0" applyProtection="0"/>
    <xf numFmtId="0" fontId="27" fillId="9" borderId="24" applyNumberFormat="0" applyAlignment="0" applyProtection="0"/>
    <xf numFmtId="9" fontId="1" fillId="0" borderId="0" applyFont="0" applyFill="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9" fillId="5" borderId="33" applyNumberFormat="0" applyFont="0" applyAlignment="0" applyProtection="0"/>
    <xf numFmtId="0" fontId="1"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0" borderId="0"/>
    <xf numFmtId="0" fontId="1" fillId="27" borderId="20" applyNumberFormat="0" applyFont="0" applyAlignment="0" applyProtection="0"/>
    <xf numFmtId="0" fontId="1" fillId="0" borderId="0"/>
    <xf numFmtId="0" fontId="1" fillId="0" borderId="0"/>
    <xf numFmtId="0" fontId="1" fillId="27" borderId="20" applyNumberFormat="0" applyFont="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9" fillId="5" borderId="25" applyNumberFormat="0" applyFont="0" applyAlignment="0" applyProtection="0"/>
    <xf numFmtId="0" fontId="28" fillId="8" borderId="26" applyNumberFormat="0" applyAlignment="0" applyProtection="0"/>
    <xf numFmtId="0" fontId="29" fillId="0" borderId="27" applyNumberFormat="0" applyFill="0" applyAlignment="0" applyProtection="0"/>
    <xf numFmtId="0" fontId="29" fillId="0" borderId="35" applyNumberFormat="0" applyFill="0" applyAlignment="0" applyProtection="0"/>
    <xf numFmtId="0" fontId="31" fillId="8" borderId="32" applyNumberFormat="0" applyAlignment="0" applyProtection="0"/>
    <xf numFmtId="0" fontId="31" fillId="8" borderId="28" applyNumberFormat="0" applyAlignment="0" applyProtection="0"/>
    <xf numFmtId="0" fontId="68" fillId="0" borderId="0" applyNumberFormat="0" applyFill="0" applyBorder="0" applyAlignment="0" applyProtection="0"/>
  </cellStyleXfs>
  <cellXfs count="138">
    <xf numFmtId="0" fontId="0" fillId="0" borderId="0" xfId="0"/>
    <xf numFmtId="168" fontId="63" fillId="0" borderId="0" xfId="0" applyNumberFormat="1" applyFont="1" applyAlignment="1">
      <alignment horizontal="right" vertical="center"/>
    </xf>
    <xf numFmtId="168" fontId="63" fillId="18" borderId="0" xfId="0" applyNumberFormat="1" applyFont="1" applyFill="1" applyAlignment="1">
      <alignment horizontal="right" vertical="center"/>
    </xf>
    <xf numFmtId="168" fontId="63" fillId="0" borderId="0" xfId="0" applyNumberFormat="1" applyFont="1" applyAlignment="1">
      <alignment vertical="center"/>
    </xf>
    <xf numFmtId="168" fontId="64" fillId="18" borderId="23" xfId="0" applyNumberFormat="1" applyFont="1" applyFill="1" applyBorder="1" applyAlignment="1">
      <alignment horizontal="left" vertical="center"/>
    </xf>
    <xf numFmtId="168" fontId="63" fillId="18" borderId="23" xfId="0" applyNumberFormat="1" applyFont="1" applyFill="1" applyBorder="1" applyAlignment="1">
      <alignment horizontal="right" vertical="center"/>
    </xf>
    <xf numFmtId="168" fontId="63" fillId="18" borderId="0" xfId="0" applyNumberFormat="1" applyFont="1" applyFill="1" applyAlignment="1">
      <alignment vertical="center"/>
    </xf>
    <xf numFmtId="168" fontId="63" fillId="18" borderId="0" xfId="0" applyNumberFormat="1" applyFont="1" applyFill="1" applyAlignment="1">
      <alignment horizontal="left" vertical="center"/>
    </xf>
    <xf numFmtId="168" fontId="64" fillId="18" borderId="0" xfId="0" applyNumberFormat="1" applyFont="1" applyFill="1" applyAlignment="1">
      <alignment horizontal="left" vertical="center"/>
    </xf>
    <xf numFmtId="168" fontId="64" fillId="52" borderId="23" xfId="0" applyNumberFormat="1" applyFont="1" applyFill="1" applyBorder="1" applyAlignment="1">
      <alignment horizontal="left" vertical="center"/>
    </xf>
    <xf numFmtId="168" fontId="64" fillId="0" borderId="0" xfId="0" applyNumberFormat="1" applyFont="1" applyAlignment="1">
      <alignment horizontal="left" vertical="center"/>
    </xf>
    <xf numFmtId="171" fontId="64" fillId="0" borderId="0" xfId="163" applyNumberFormat="1" applyFont="1" applyFill="1" applyBorder="1" applyAlignment="1">
      <alignment horizontal="center" vertical="center" wrapText="1"/>
    </xf>
    <xf numFmtId="171" fontId="64" fillId="18" borderId="0" xfId="163" applyNumberFormat="1" applyFont="1" applyFill="1" applyBorder="1" applyAlignment="1">
      <alignment horizontal="right" vertical="center" wrapText="1"/>
    </xf>
    <xf numFmtId="171" fontId="64" fillId="0" borderId="0" xfId="163" applyNumberFormat="1" applyFont="1" applyFill="1" applyBorder="1" applyAlignment="1">
      <alignment horizontal="right" vertical="center" wrapText="1"/>
    </xf>
    <xf numFmtId="171" fontId="64" fillId="18" borderId="0" xfId="163" applyNumberFormat="1" applyFont="1" applyFill="1" applyBorder="1" applyAlignment="1">
      <alignment horizontal="center" vertical="center" wrapText="1"/>
    </xf>
    <xf numFmtId="168" fontId="63" fillId="0" borderId="0" xfId="0" applyNumberFormat="1" applyFont="1" applyAlignment="1">
      <alignment horizontal="center" vertical="center"/>
    </xf>
    <xf numFmtId="168" fontId="63" fillId="0" borderId="12" xfId="0" applyNumberFormat="1" applyFont="1" applyBorder="1" applyAlignment="1">
      <alignment horizontal="left" vertical="center" indent="1"/>
    </xf>
    <xf numFmtId="168" fontId="63" fillId="19" borderId="12" xfId="0" applyNumberFormat="1" applyFont="1" applyFill="1" applyBorder="1" applyAlignment="1">
      <alignment horizontal="center" vertical="center"/>
    </xf>
    <xf numFmtId="172" fontId="63" fillId="0" borderId="12" xfId="163" applyNumberFormat="1" applyFont="1" applyBorder="1" applyAlignment="1">
      <alignment horizontal="left" vertical="center"/>
    </xf>
    <xf numFmtId="172" fontId="63" fillId="18" borderId="0" xfId="163" applyNumberFormat="1" applyFont="1" applyFill="1" applyBorder="1" applyAlignment="1">
      <alignment horizontal="left" vertical="center"/>
    </xf>
    <xf numFmtId="168" fontId="63" fillId="0" borderId="0" xfId="0" applyNumberFormat="1" applyFont="1" applyAlignment="1">
      <alignment horizontal="left" vertical="center" indent="1"/>
    </xf>
    <xf numFmtId="172" fontId="63" fillId="0" borderId="0" xfId="163" applyNumberFormat="1" applyFont="1" applyFill="1" applyBorder="1" applyAlignment="1">
      <alignment horizontal="left" vertical="center"/>
    </xf>
    <xf numFmtId="168" fontId="64" fillId="0" borderId="0" xfId="0" applyNumberFormat="1" applyFont="1" applyAlignment="1">
      <alignment horizontal="right" vertical="center"/>
    </xf>
    <xf numFmtId="168" fontId="64" fillId="0" borderId="12" xfId="0" applyNumberFormat="1" applyFont="1" applyBorder="1" applyAlignment="1">
      <alignment horizontal="left" vertical="center" indent="1"/>
    </xf>
    <xf numFmtId="172" fontId="64" fillId="0" borderId="12" xfId="163" applyNumberFormat="1" applyFont="1" applyBorder="1" applyAlignment="1">
      <alignment horizontal="left" vertical="center"/>
    </xf>
    <xf numFmtId="172" fontId="64" fillId="18" borderId="0" xfId="163" applyNumberFormat="1" applyFont="1" applyFill="1" applyBorder="1" applyAlignment="1">
      <alignment horizontal="left" vertical="center"/>
    </xf>
    <xf numFmtId="168" fontId="64" fillId="0" borderId="0" xfId="0" applyNumberFormat="1" applyFont="1" applyAlignment="1">
      <alignment horizontal="left" vertical="center" indent="1"/>
    </xf>
    <xf numFmtId="172" fontId="64" fillId="0" borderId="0" xfId="163" applyNumberFormat="1" applyFont="1" applyFill="1" applyBorder="1" applyAlignment="1">
      <alignment horizontal="left" vertical="center"/>
    </xf>
    <xf numFmtId="9" fontId="63" fillId="0" borderId="0" xfId="167" applyFont="1" applyAlignment="1">
      <alignment horizontal="left" vertical="center" indent="1"/>
    </xf>
    <xf numFmtId="172" fontId="63" fillId="0" borderId="0" xfId="167" applyNumberFormat="1" applyFont="1" applyAlignment="1">
      <alignment horizontal="left" vertical="center" indent="1"/>
    </xf>
    <xf numFmtId="43" fontId="63" fillId="0" borderId="0" xfId="163" applyFont="1" applyFill="1" applyBorder="1" applyAlignment="1">
      <alignment horizontal="left" vertical="center"/>
    </xf>
    <xf numFmtId="43" fontId="63" fillId="18" borderId="0" xfId="163" applyFont="1" applyFill="1" applyBorder="1" applyAlignment="1">
      <alignment horizontal="left" vertical="center"/>
    </xf>
    <xf numFmtId="43" fontId="64" fillId="0" borderId="0" xfId="163" applyFont="1" applyFill="1" applyBorder="1" applyAlignment="1">
      <alignment horizontal="left" vertical="center"/>
    </xf>
    <xf numFmtId="43" fontId="64" fillId="18" borderId="0" xfId="163" applyFont="1" applyFill="1" applyBorder="1" applyAlignment="1">
      <alignment horizontal="left" vertical="center"/>
    </xf>
    <xf numFmtId="9" fontId="63" fillId="0" borderId="0" xfId="167" applyFont="1" applyAlignment="1">
      <alignment horizontal="right" vertical="center"/>
    </xf>
    <xf numFmtId="43" fontId="63" fillId="0" borderId="12" xfId="163" applyFont="1" applyBorder="1" applyAlignment="1">
      <alignment horizontal="left" vertical="center"/>
    </xf>
    <xf numFmtId="43" fontId="64" fillId="0" borderId="0" xfId="163" applyFont="1" applyFill="1" applyBorder="1" applyAlignment="1">
      <alignment horizontal="center" vertical="center" wrapText="1"/>
    </xf>
    <xf numFmtId="43" fontId="63" fillId="0" borderId="12" xfId="0" applyNumberFormat="1" applyFont="1" applyBorder="1" applyAlignment="1">
      <alignment horizontal="left" vertical="center" indent="1"/>
    </xf>
    <xf numFmtId="43" fontId="63" fillId="19" borderId="12" xfId="0" applyNumberFormat="1" applyFont="1" applyFill="1" applyBorder="1" applyAlignment="1">
      <alignment horizontal="center" vertical="center"/>
    </xf>
    <xf numFmtId="43" fontId="63" fillId="0" borderId="0" xfId="0" applyNumberFormat="1" applyFont="1" applyAlignment="1">
      <alignment horizontal="right" vertical="center"/>
    </xf>
    <xf numFmtId="43" fontId="64" fillId="0" borderId="12" xfId="163" applyFont="1" applyBorder="1" applyAlignment="1">
      <alignment horizontal="left" vertical="center"/>
    </xf>
    <xf numFmtId="43" fontId="64" fillId="0" borderId="12" xfId="0" applyNumberFormat="1" applyFont="1" applyBorder="1" applyAlignment="1">
      <alignment horizontal="left" vertical="center" indent="1"/>
    </xf>
    <xf numFmtId="173" fontId="63" fillId="0" borderId="0" xfId="163" applyNumberFormat="1" applyFont="1" applyFill="1" applyBorder="1" applyAlignment="1">
      <alignment horizontal="left" vertical="center"/>
    </xf>
    <xf numFmtId="173" fontId="63" fillId="18" borderId="0" xfId="163" applyNumberFormat="1" applyFont="1" applyFill="1" applyBorder="1" applyAlignment="1">
      <alignment horizontal="left" vertical="center"/>
    </xf>
    <xf numFmtId="173" fontId="64" fillId="0" borderId="0" xfId="163" applyNumberFormat="1" applyFont="1" applyFill="1" applyBorder="1" applyAlignment="1">
      <alignment horizontal="left" vertical="center"/>
    </xf>
    <xf numFmtId="173" fontId="64" fillId="18" borderId="0" xfId="163" applyNumberFormat="1" applyFont="1" applyFill="1" applyBorder="1" applyAlignment="1">
      <alignment horizontal="left" vertical="center"/>
    </xf>
    <xf numFmtId="172" fontId="63" fillId="0" borderId="0" xfId="163" applyNumberFormat="1" applyFont="1" applyBorder="1" applyAlignment="1">
      <alignment horizontal="left" vertical="center"/>
    </xf>
    <xf numFmtId="172" fontId="64" fillId="0" borderId="0" xfId="163" applyNumberFormat="1" applyFont="1" applyBorder="1" applyAlignment="1">
      <alignment horizontal="left" vertical="center"/>
    </xf>
    <xf numFmtId="168" fontId="63" fillId="19" borderId="0" xfId="0" applyNumberFormat="1" applyFont="1" applyFill="1" applyAlignment="1">
      <alignment horizontal="center" vertical="center"/>
    </xf>
    <xf numFmtId="168" fontId="63" fillId="19" borderId="12" xfId="0" applyNumberFormat="1" applyFont="1" applyFill="1" applyBorder="1" applyAlignment="1">
      <alignment horizontal="left" vertical="center" indent="1"/>
    </xf>
    <xf numFmtId="43" fontId="63" fillId="19" borderId="12" xfId="163" applyFont="1" applyFill="1" applyBorder="1" applyAlignment="1">
      <alignment horizontal="left" vertical="center"/>
    </xf>
    <xf numFmtId="168" fontId="63" fillId="18" borderId="12" xfId="0" applyNumberFormat="1" applyFont="1" applyFill="1" applyBorder="1" applyAlignment="1">
      <alignment horizontal="left" vertical="center" indent="1"/>
    </xf>
    <xf numFmtId="168" fontId="63" fillId="18" borderId="12" xfId="0" applyNumberFormat="1" applyFont="1" applyFill="1" applyBorder="1" applyAlignment="1">
      <alignment horizontal="center" vertical="center"/>
    </xf>
    <xf numFmtId="172" fontId="63" fillId="18" borderId="12" xfId="163" applyNumberFormat="1" applyFont="1" applyFill="1" applyBorder="1" applyAlignment="1">
      <alignment horizontal="left" vertical="center"/>
    </xf>
    <xf numFmtId="172" fontId="63" fillId="19" borderId="12" xfId="163" applyNumberFormat="1" applyFont="1" applyFill="1" applyBorder="1" applyAlignment="1">
      <alignment horizontal="left" vertical="center"/>
    </xf>
    <xf numFmtId="168" fontId="63" fillId="0" borderId="37" xfId="0" applyNumberFormat="1" applyFont="1" applyBorder="1" applyAlignment="1">
      <alignment horizontal="left" vertical="center" indent="1"/>
    </xf>
    <xf numFmtId="172" fontId="63" fillId="0" borderId="37" xfId="0" applyNumberFormat="1" applyFont="1" applyBorder="1" applyAlignment="1">
      <alignment horizontal="right" vertical="center"/>
    </xf>
    <xf numFmtId="9" fontId="64" fillId="0" borderId="0" xfId="167" applyFont="1" applyBorder="1" applyAlignment="1">
      <alignment horizontal="right" vertical="center"/>
    </xf>
    <xf numFmtId="172" fontId="64" fillId="0" borderId="12" xfId="167" applyNumberFormat="1" applyFont="1" applyBorder="1" applyAlignment="1">
      <alignment horizontal="right" vertical="center"/>
    </xf>
    <xf numFmtId="167" fontId="63" fillId="0" borderId="0" xfId="0" applyNumberFormat="1" applyFont="1" applyAlignment="1">
      <alignment horizontal="right" vertical="center"/>
    </xf>
    <xf numFmtId="171" fontId="65" fillId="20" borderId="0" xfId="163" applyNumberFormat="1" applyFont="1" applyFill="1" applyBorder="1" applyAlignment="1">
      <alignment horizontal="center" vertical="center" wrapText="1"/>
    </xf>
    <xf numFmtId="171" fontId="65" fillId="20" borderId="22" xfId="163" applyNumberFormat="1" applyFont="1" applyFill="1" applyBorder="1" applyAlignment="1">
      <alignment horizontal="right" vertical="center" wrapText="1"/>
    </xf>
    <xf numFmtId="168" fontId="65" fillId="52" borderId="23" xfId="0" applyNumberFormat="1" applyFont="1" applyFill="1" applyBorder="1" applyAlignment="1">
      <alignment horizontal="left" vertical="center"/>
    </xf>
    <xf numFmtId="168" fontId="66" fillId="52" borderId="23" xfId="0" applyNumberFormat="1" applyFont="1" applyFill="1" applyBorder="1" applyAlignment="1">
      <alignment horizontal="left" vertical="center"/>
    </xf>
    <xf numFmtId="171" fontId="65" fillId="0" borderId="0" xfId="163" applyNumberFormat="1" applyFont="1" applyFill="1" applyBorder="1" applyAlignment="1">
      <alignment horizontal="center" vertical="center" wrapText="1"/>
    </xf>
    <xf numFmtId="171" fontId="65" fillId="20" borderId="36" xfId="163" applyNumberFormat="1" applyFont="1" applyFill="1" applyBorder="1" applyAlignment="1">
      <alignment horizontal="center" vertical="center" wrapText="1"/>
    </xf>
    <xf numFmtId="171" fontId="65" fillId="20" borderId="0" xfId="163" applyNumberFormat="1" applyFont="1" applyFill="1" applyBorder="1" applyAlignment="1">
      <alignment horizontal="right" vertical="center" wrapText="1"/>
    </xf>
    <xf numFmtId="9" fontId="63" fillId="18" borderId="0" xfId="167" applyFont="1" applyFill="1" applyAlignment="1">
      <alignment horizontal="right" vertical="center"/>
    </xf>
    <xf numFmtId="168" fontId="64" fillId="18" borderId="0" xfId="0" applyNumberFormat="1" applyFont="1" applyFill="1" applyAlignment="1">
      <alignment horizontal="right" vertical="center"/>
    </xf>
    <xf numFmtId="168" fontId="64" fillId="18" borderId="39" xfId="0" applyNumberFormat="1" applyFont="1" applyFill="1" applyBorder="1" applyAlignment="1">
      <alignment horizontal="left" vertical="center"/>
    </xf>
    <xf numFmtId="168" fontId="64" fillId="18" borderId="39" xfId="0" applyNumberFormat="1" applyFont="1" applyFill="1" applyBorder="1" applyAlignment="1">
      <alignment horizontal="right" vertical="center"/>
    </xf>
    <xf numFmtId="168" fontId="63" fillId="19" borderId="0" xfId="0" applyNumberFormat="1" applyFont="1" applyFill="1" applyAlignment="1">
      <alignment horizontal="right" vertical="center"/>
    </xf>
    <xf numFmtId="174" fontId="0" fillId="0" borderId="0" xfId="0" applyNumberFormat="1"/>
    <xf numFmtId="168" fontId="0" fillId="0" borderId="0" xfId="0" applyNumberFormat="1"/>
    <xf numFmtId="173" fontId="0" fillId="0" borderId="0" xfId="163" applyNumberFormat="1" applyFont="1"/>
    <xf numFmtId="175" fontId="0" fillId="0" borderId="0" xfId="163" applyNumberFormat="1" applyFont="1"/>
    <xf numFmtId="43" fontId="0" fillId="0" borderId="0" xfId="0" applyNumberFormat="1"/>
    <xf numFmtId="176" fontId="0" fillId="0" borderId="0" xfId="0" applyNumberFormat="1"/>
    <xf numFmtId="9" fontId="67" fillId="0" borderId="0" xfId="150" applyFont="1"/>
    <xf numFmtId="168" fontId="67" fillId="0" borderId="12" xfId="0" applyNumberFormat="1" applyFont="1" applyBorder="1" applyAlignment="1">
      <alignment horizontal="left" vertical="center" indent="1"/>
    </xf>
    <xf numFmtId="168" fontId="67" fillId="19" borderId="12" xfId="0" applyNumberFormat="1" applyFont="1" applyFill="1" applyBorder="1" applyAlignment="1">
      <alignment horizontal="center" vertical="center"/>
    </xf>
    <xf numFmtId="172" fontId="67" fillId="0" borderId="12" xfId="163" applyNumberFormat="1" applyFont="1" applyBorder="1" applyAlignment="1">
      <alignment horizontal="left" vertical="center"/>
    </xf>
    <xf numFmtId="173" fontId="63" fillId="0" borderId="12" xfId="163" applyNumberFormat="1" applyFont="1" applyBorder="1" applyAlignment="1">
      <alignment horizontal="left" vertical="center"/>
    </xf>
    <xf numFmtId="173" fontId="63" fillId="19" borderId="12" xfId="163" applyNumberFormat="1" applyFont="1" applyFill="1" applyBorder="1" applyAlignment="1">
      <alignment horizontal="left" vertical="center"/>
    </xf>
    <xf numFmtId="173" fontId="63" fillId="0" borderId="12" xfId="163" applyNumberFormat="1" applyFont="1" applyFill="1" applyBorder="1" applyAlignment="1">
      <alignment horizontal="left" vertical="center"/>
    </xf>
    <xf numFmtId="0" fontId="67" fillId="0" borderId="0" xfId="0" applyFont="1"/>
    <xf numFmtId="0" fontId="67" fillId="0" borderId="0" xfId="0" applyFont="1" applyAlignment="1">
      <alignment vertical="top" wrapText="1"/>
    </xf>
    <xf numFmtId="168" fontId="69" fillId="18" borderId="0" xfId="0" applyNumberFormat="1" applyFont="1" applyFill="1" applyAlignment="1">
      <alignment horizontal="left" vertical="center"/>
    </xf>
    <xf numFmtId="49" fontId="79" fillId="0" borderId="0" xfId="0" applyNumberFormat="1" applyFont="1" applyAlignment="1">
      <alignment wrapText="1"/>
    </xf>
    <xf numFmtId="49" fontId="67" fillId="0" borderId="0" xfId="0" applyNumberFormat="1" applyFont="1" applyAlignment="1">
      <alignment wrapText="1"/>
    </xf>
    <xf numFmtId="49" fontId="67" fillId="0" borderId="0" xfId="0" applyNumberFormat="1" applyFont="1" applyAlignment="1">
      <alignment horizontal="left" wrapText="1"/>
    </xf>
    <xf numFmtId="49" fontId="67" fillId="0" borderId="0" xfId="0" applyNumberFormat="1" applyFont="1" applyAlignment="1">
      <alignment horizontal="left" vertical="center" wrapText="1"/>
    </xf>
    <xf numFmtId="0" fontId="73" fillId="56" borderId="44" xfId="0" applyFont="1" applyFill="1" applyBorder="1" applyAlignment="1">
      <alignment vertical="center"/>
    </xf>
    <xf numFmtId="0" fontId="67" fillId="56" borderId="47" xfId="0" applyFont="1" applyFill="1" applyBorder="1"/>
    <xf numFmtId="0" fontId="74" fillId="56" borderId="46" xfId="0" applyFont="1" applyFill="1" applyBorder="1" applyAlignment="1">
      <alignment vertical="center"/>
    </xf>
    <xf numFmtId="0" fontId="67" fillId="56" borderId="38" xfId="0" applyFont="1" applyFill="1" applyBorder="1"/>
    <xf numFmtId="0" fontId="77" fillId="56" borderId="46" xfId="0" applyFont="1" applyFill="1" applyBorder="1" applyAlignment="1">
      <alignment vertical="center"/>
    </xf>
    <xf numFmtId="49" fontId="67" fillId="0" borderId="0" xfId="394" applyNumberFormat="1" applyFont="1" applyAlignment="1">
      <alignment horizontal="left" vertical="center" wrapText="1"/>
    </xf>
    <xf numFmtId="49" fontId="80" fillId="53" borderId="0" xfId="0" applyNumberFormat="1" applyFont="1" applyFill="1" applyAlignment="1">
      <alignment horizontal="center" wrapText="1"/>
    </xf>
    <xf numFmtId="49" fontId="81" fillId="53" borderId="0" xfId="0" applyNumberFormat="1" applyFont="1" applyFill="1" applyAlignment="1">
      <alignment horizontal="center" wrapText="1"/>
    </xf>
    <xf numFmtId="49" fontId="69" fillId="0" borderId="0" xfId="0" applyNumberFormat="1" applyFont="1" applyAlignment="1">
      <alignment horizontal="center" wrapText="1"/>
    </xf>
    <xf numFmtId="49" fontId="67" fillId="0" borderId="0" xfId="0" applyNumberFormat="1" applyFont="1" applyAlignment="1">
      <alignment horizontal="center" wrapText="1"/>
    </xf>
    <xf numFmtId="49" fontId="82" fillId="0" borderId="0" xfId="394" applyNumberFormat="1" applyFont="1" applyFill="1" applyBorder="1" applyAlignment="1">
      <alignment horizontal="center" wrapText="1"/>
    </xf>
    <xf numFmtId="49" fontId="67" fillId="54" borderId="45" xfId="0" applyNumberFormat="1" applyFont="1" applyFill="1" applyBorder="1" applyAlignment="1">
      <alignment horizontal="left" vertical="center" wrapText="1"/>
    </xf>
    <xf numFmtId="49" fontId="67" fillId="54" borderId="37" xfId="0" applyNumberFormat="1" applyFont="1" applyFill="1" applyBorder="1" applyAlignment="1">
      <alignment horizontal="left" vertical="center" wrapText="1"/>
    </xf>
    <xf numFmtId="49" fontId="67" fillId="54" borderId="46" xfId="0" applyNumberFormat="1" applyFont="1" applyFill="1" applyBorder="1" applyAlignment="1">
      <alignment horizontal="left" vertical="center" wrapText="1"/>
    </xf>
    <xf numFmtId="0" fontId="67" fillId="56" borderId="40" xfId="0" applyFont="1" applyFill="1" applyBorder="1" applyAlignment="1">
      <alignment horizontal="left" vertical="top" wrapText="1"/>
    </xf>
    <xf numFmtId="0" fontId="67" fillId="56" borderId="41" xfId="0" applyFont="1" applyFill="1" applyBorder="1" applyAlignment="1">
      <alignment horizontal="left" vertical="top" wrapText="1"/>
    </xf>
    <xf numFmtId="49" fontId="67" fillId="54" borderId="45" xfId="394" applyNumberFormat="1" applyFont="1" applyFill="1" applyBorder="1" applyAlignment="1">
      <alignment horizontal="left" vertical="center" wrapText="1"/>
    </xf>
    <xf numFmtId="49" fontId="67" fillId="54" borderId="37" xfId="394" applyNumberFormat="1" applyFont="1" applyFill="1" applyBorder="1" applyAlignment="1">
      <alignment horizontal="left" vertical="center" wrapText="1"/>
    </xf>
    <xf numFmtId="49" fontId="67" fillId="54" borderId="46" xfId="394" applyNumberFormat="1" applyFont="1" applyFill="1" applyBorder="1" applyAlignment="1">
      <alignment horizontal="left" vertical="center" wrapText="1"/>
    </xf>
    <xf numFmtId="49" fontId="71" fillId="0" borderId="0" xfId="0" applyNumberFormat="1" applyFont="1" applyAlignment="1">
      <alignment horizontal="left" wrapText="1"/>
    </xf>
    <xf numFmtId="49" fontId="67" fillId="0" borderId="0" xfId="0" applyNumberFormat="1" applyFont="1" applyAlignment="1">
      <alignment horizontal="left" wrapText="1"/>
    </xf>
    <xf numFmtId="0" fontId="77" fillId="56" borderId="37" xfId="0" applyFont="1" applyFill="1" applyBorder="1" applyAlignment="1">
      <alignment horizontal="left" vertical="center"/>
    </xf>
    <xf numFmtId="0" fontId="77" fillId="56" borderId="46" xfId="0" applyFont="1" applyFill="1" applyBorder="1" applyAlignment="1">
      <alignment horizontal="left" vertical="center"/>
    </xf>
    <xf numFmtId="0" fontId="77" fillId="56" borderId="41" xfId="0" applyFont="1" applyFill="1" applyBorder="1" applyAlignment="1">
      <alignment horizontal="left" vertical="center"/>
    </xf>
    <xf numFmtId="0" fontId="77" fillId="56" borderId="42" xfId="0" applyFont="1" applyFill="1" applyBorder="1" applyAlignment="1">
      <alignment horizontal="left" vertical="center"/>
    </xf>
    <xf numFmtId="0" fontId="67" fillId="56" borderId="43" xfId="0" applyFont="1" applyFill="1" applyBorder="1" applyAlignment="1">
      <alignment horizontal="left" vertical="top" wrapText="1"/>
    </xf>
    <xf numFmtId="0" fontId="67" fillId="56" borderId="12" xfId="0" applyFont="1" applyFill="1" applyBorder="1" applyAlignment="1">
      <alignment horizontal="left" vertical="top" wrapText="1"/>
    </xf>
    <xf numFmtId="0" fontId="67" fillId="56" borderId="45" xfId="0" applyFont="1" applyFill="1" applyBorder="1" applyAlignment="1">
      <alignment horizontal="left" vertical="top" wrapText="1"/>
    </xf>
    <xf numFmtId="0" fontId="67" fillId="56" borderId="37" xfId="0" applyFont="1" applyFill="1" applyBorder="1" applyAlignment="1">
      <alignment horizontal="left" vertical="top" wrapText="1"/>
    </xf>
    <xf numFmtId="0" fontId="67" fillId="56" borderId="45" xfId="0" applyFont="1" applyFill="1" applyBorder="1" applyAlignment="1">
      <alignment horizontal="left" vertical="top"/>
    </xf>
    <xf numFmtId="0" fontId="67" fillId="56" borderId="37" xfId="0" applyFont="1" applyFill="1" applyBorder="1" applyAlignment="1">
      <alignment horizontal="left" vertical="top"/>
    </xf>
    <xf numFmtId="0" fontId="71" fillId="0" borderId="47" xfId="0" applyFont="1" applyBorder="1" applyAlignment="1">
      <alignment horizontal="left" vertical="center"/>
    </xf>
    <xf numFmtId="0" fontId="71" fillId="0" borderId="43" xfId="0" applyFont="1" applyBorder="1" applyAlignment="1">
      <alignment horizontal="left" vertical="center"/>
    </xf>
    <xf numFmtId="0" fontId="71" fillId="0" borderId="44" xfId="0" applyFont="1" applyBorder="1" applyAlignment="1">
      <alignment horizontal="left" vertical="center"/>
    </xf>
    <xf numFmtId="0" fontId="67" fillId="55" borderId="42" xfId="0" applyFont="1" applyFill="1" applyBorder="1" applyAlignment="1">
      <alignment horizontal="left" vertical="center"/>
    </xf>
    <xf numFmtId="0" fontId="67" fillId="55" borderId="48" xfId="0" applyFont="1" applyFill="1" applyBorder="1" applyAlignment="1">
      <alignment horizontal="left" vertical="center"/>
    </xf>
    <xf numFmtId="0" fontId="67" fillId="55" borderId="38" xfId="0" applyFont="1" applyFill="1" applyBorder="1" applyAlignment="1">
      <alignment horizontal="left" vertical="top"/>
    </xf>
    <xf numFmtId="0" fontId="67" fillId="55" borderId="45" xfId="0" applyFont="1" applyFill="1" applyBorder="1" applyAlignment="1">
      <alignment horizontal="left" vertical="top"/>
    </xf>
    <xf numFmtId="0" fontId="67" fillId="55" borderId="38" xfId="0" applyFont="1" applyFill="1" applyBorder="1" applyAlignment="1">
      <alignment horizontal="left" vertical="top" wrapText="1"/>
    </xf>
    <xf numFmtId="0" fontId="67" fillId="55" borderId="45" xfId="0" applyFont="1" applyFill="1" applyBorder="1" applyAlignment="1">
      <alignment horizontal="left" vertical="top" wrapText="1"/>
    </xf>
    <xf numFmtId="0" fontId="67" fillId="55" borderId="48" xfId="0" applyFont="1" applyFill="1" applyBorder="1" applyAlignment="1">
      <alignment horizontal="left" vertical="top" wrapText="1"/>
    </xf>
    <xf numFmtId="0" fontId="67" fillId="55" borderId="40" xfId="0" applyFont="1" applyFill="1" applyBorder="1" applyAlignment="1">
      <alignment horizontal="left" vertical="top" wrapText="1"/>
    </xf>
    <xf numFmtId="0" fontId="67" fillId="55" borderId="46" xfId="0" applyFont="1" applyFill="1" applyBorder="1" applyAlignment="1">
      <alignment horizontal="left" vertical="center"/>
    </xf>
    <xf numFmtId="0" fontId="67" fillId="55" borderId="38" xfId="0" applyFont="1" applyFill="1" applyBorder="1" applyAlignment="1">
      <alignment horizontal="left" vertical="center"/>
    </xf>
    <xf numFmtId="0" fontId="78" fillId="55" borderId="46" xfId="0" applyFont="1" applyFill="1" applyBorder="1" applyAlignment="1">
      <alignment horizontal="left" vertical="center"/>
    </xf>
    <xf numFmtId="0" fontId="78" fillId="55" borderId="38" xfId="0" applyFont="1" applyFill="1" applyBorder="1" applyAlignment="1">
      <alignment horizontal="left" vertical="center"/>
    </xf>
  </cellXfs>
  <cellStyles count="395">
    <cellStyle name="20% - Accent1" xfId="194" builtinId="30" customBuiltin="1"/>
    <cellStyle name="20% - Accent1 2" xfId="1" xr:uid="{00000000-0005-0000-0000-000000000000}"/>
    <cellStyle name="20% - Accent1 3" xfId="223" xr:uid="{7F961F8A-3B1B-4775-8D78-5B66AD17D259}"/>
    <cellStyle name="20% - Accent1 3 2" xfId="364" xr:uid="{3297F3BD-4C5D-4FD9-8703-9A9199A4415A}"/>
    <cellStyle name="20% - Accent1 4" xfId="340" xr:uid="{201701AF-BF64-4E2C-8D3F-C848976F115A}"/>
    <cellStyle name="20% - Accent2" xfId="198" builtinId="34" customBuiltin="1"/>
    <cellStyle name="20% - Accent2 2" xfId="2" xr:uid="{00000000-0005-0000-0000-000001000000}"/>
    <cellStyle name="20% - Accent2 3" xfId="226" xr:uid="{CE417F48-A754-4869-B53C-14B2A63363D0}"/>
    <cellStyle name="20% - Accent2 3 2" xfId="367" xr:uid="{1D121CAC-C22C-4A7B-A0C2-B467924DDF5E}"/>
    <cellStyle name="20% - Accent2 4" xfId="343" xr:uid="{DF247FE6-E5A6-4D74-A9BA-75BCB7CDB154}"/>
    <cellStyle name="20% - Accent3" xfId="202" builtinId="38" customBuiltin="1"/>
    <cellStyle name="20% - Accent3 2" xfId="3" xr:uid="{00000000-0005-0000-0000-000002000000}"/>
    <cellStyle name="20% - Accent3 3" xfId="229" xr:uid="{76BBD6CB-6121-494A-915D-E90E211AF464}"/>
    <cellStyle name="20% - Accent3 3 2" xfId="370" xr:uid="{5BC182E4-91B2-4E4C-8EE2-2DD018439D1E}"/>
    <cellStyle name="20% - Accent3 4" xfId="346" xr:uid="{2BC62E19-D4DD-4E9B-BAD9-EE7BC1B4EFF1}"/>
    <cellStyle name="20% - Accent4" xfId="206" builtinId="42" customBuiltin="1"/>
    <cellStyle name="20% - Accent4 2" xfId="4" xr:uid="{00000000-0005-0000-0000-000003000000}"/>
    <cellStyle name="20% - Accent4 3" xfId="232" xr:uid="{76C261DA-ECE1-4DC7-A13F-37BC9BEE59CF}"/>
    <cellStyle name="20% - Accent4 3 2" xfId="373" xr:uid="{55A0CC2B-3805-4F99-A2A9-7327F1835D99}"/>
    <cellStyle name="20% - Accent4 4" xfId="349" xr:uid="{E9410808-10CF-47D0-859E-9790CFA5CBB5}"/>
    <cellStyle name="20% - Accent5" xfId="210" builtinId="46" customBuiltin="1"/>
    <cellStyle name="20% - Accent5 2" xfId="5" xr:uid="{00000000-0005-0000-0000-000004000000}"/>
    <cellStyle name="20% - Accent5 3" xfId="235" xr:uid="{D76AAFF6-BC2F-401E-8E3A-0DCFBCCB51FE}"/>
    <cellStyle name="20% - Accent5 3 2" xfId="376" xr:uid="{CC355C1B-7FF5-40EC-A3D9-58B69011B22A}"/>
    <cellStyle name="20% - Accent5 4" xfId="353" xr:uid="{7E5AD11F-B408-451C-B5CC-C8AC3A0C7150}"/>
    <cellStyle name="20% - Accent6" xfId="214" builtinId="50" customBuiltin="1"/>
    <cellStyle name="20% - Accent6 2" xfId="6" xr:uid="{00000000-0005-0000-0000-000005000000}"/>
    <cellStyle name="20% - Accent6 3" xfId="238" xr:uid="{27E304D8-13D4-4BF9-80F2-126366FBD45C}"/>
    <cellStyle name="20% - Accent6 3 2" xfId="379" xr:uid="{A8DB5AA9-C361-4CAD-A80F-6E28D1896DF2}"/>
    <cellStyle name="20% - Accent6 4" xfId="356" xr:uid="{E19B0E10-A593-4F54-BFB4-904931876320}"/>
    <cellStyle name="40% - Accent1" xfId="195" builtinId="31" customBuiltin="1"/>
    <cellStyle name="40% - Accent1 2" xfId="7" xr:uid="{00000000-0005-0000-0000-000006000000}"/>
    <cellStyle name="40% - Accent1 3" xfId="224" xr:uid="{32D1E623-7E63-4D61-8883-1BB2F779AED3}"/>
    <cellStyle name="40% - Accent1 3 2" xfId="365" xr:uid="{E628C939-E9E1-4D4E-B89F-24BD153CFCFF}"/>
    <cellStyle name="40% - Accent1 4" xfId="341" xr:uid="{75C7B2D3-771E-411B-B1F8-4492230B6DE5}"/>
    <cellStyle name="40% - Accent2" xfId="199" builtinId="35" customBuiltin="1"/>
    <cellStyle name="40% - Accent2 2" xfId="8" xr:uid="{00000000-0005-0000-0000-000007000000}"/>
    <cellStyle name="40% - Accent2 3" xfId="227" xr:uid="{E9EC1DC6-3D31-48EA-9E86-015360B4BB0F}"/>
    <cellStyle name="40% - Accent2 3 2" xfId="368" xr:uid="{475B2503-C3F3-4E88-B557-74B5FD13D4B6}"/>
    <cellStyle name="40% - Accent2 4" xfId="344" xr:uid="{6523D180-5797-4DE5-A348-18A689695DDB}"/>
    <cellStyle name="40% - Accent3" xfId="203" builtinId="39" customBuiltin="1"/>
    <cellStyle name="40% - Accent3 2" xfId="9" xr:uid="{00000000-0005-0000-0000-000008000000}"/>
    <cellStyle name="40% - Accent3 3" xfId="230" xr:uid="{12305EAC-20C2-4A92-B0E4-68ABEB2F55EC}"/>
    <cellStyle name="40% - Accent3 3 2" xfId="371" xr:uid="{97BE0BF9-2D88-47B6-89CA-E41ABE552622}"/>
    <cellStyle name="40% - Accent3 4" xfId="347" xr:uid="{32F60BCB-C8CA-42ED-9239-368B8800F771}"/>
    <cellStyle name="40% - Accent4" xfId="207" builtinId="43" customBuiltin="1"/>
    <cellStyle name="40% - Accent4 2" xfId="10" xr:uid="{00000000-0005-0000-0000-000009000000}"/>
    <cellStyle name="40% - Accent4 3" xfId="233" xr:uid="{220F6128-037F-4921-BFE4-169A19534F44}"/>
    <cellStyle name="40% - Accent4 3 2" xfId="374" xr:uid="{663C8EB2-A64A-4B3F-90BD-B7FD19A5CF28}"/>
    <cellStyle name="40% - Accent4 4" xfId="350" xr:uid="{A11A0389-6E18-4D3E-9E8B-A44751E79560}"/>
    <cellStyle name="40% - Accent5" xfId="211" builtinId="47" customBuiltin="1"/>
    <cellStyle name="40% - Accent5 2" xfId="11" xr:uid="{00000000-0005-0000-0000-00000A000000}"/>
    <cellStyle name="40% - Accent5 3" xfId="236" xr:uid="{F61ED80F-43ED-4CC8-8E96-4CDD57130042}"/>
    <cellStyle name="40% - Accent5 3 2" xfId="377" xr:uid="{2C6D0093-5AA3-41C4-9968-559EE1BDC3C2}"/>
    <cellStyle name="40% - Accent5 4" xfId="354" xr:uid="{D6BF590B-39C0-43E1-9E93-EDA5577544C6}"/>
    <cellStyle name="40% - Accent6" xfId="215" builtinId="51" customBuiltin="1"/>
    <cellStyle name="40% - Accent6 2" xfId="12" xr:uid="{00000000-0005-0000-0000-00000B000000}"/>
    <cellStyle name="40% - Accent6 3" xfId="239" xr:uid="{7687AA34-80B7-4AEA-800E-A6104A8FBBDC}"/>
    <cellStyle name="40% - Accent6 3 2" xfId="380" xr:uid="{3FE5D025-7C02-47F6-98C6-2DC103D74140}"/>
    <cellStyle name="40% - Accent6 4" xfId="357" xr:uid="{C1581D27-C0E6-490C-B51E-1DE3E5E86578}"/>
    <cellStyle name="60% - Accent1" xfId="196" builtinId="32" customBuiltin="1"/>
    <cellStyle name="60% - Accent1 2" xfId="13" xr:uid="{00000000-0005-0000-0000-00000C000000}"/>
    <cellStyle name="60% - Accent1 3" xfId="225" xr:uid="{53F7B769-49A7-44C6-B21F-D337E5792FCA}"/>
    <cellStyle name="60% - Accent1 3 2" xfId="366" xr:uid="{90095531-2009-42F7-9AB9-9B3FCC8049B8}"/>
    <cellStyle name="60% - Accent1 4" xfId="342" xr:uid="{2D7F57E2-2F77-4281-9836-732F5F60DAC5}"/>
    <cellStyle name="60% - Accent2" xfId="200" builtinId="36" customBuiltin="1"/>
    <cellStyle name="60% - Accent2 2" xfId="14" xr:uid="{00000000-0005-0000-0000-00000D000000}"/>
    <cellStyle name="60% - Accent2 3" xfId="228" xr:uid="{037D55DE-B5C6-4D95-97BD-B3AB985C69BB}"/>
    <cellStyle name="60% - Accent2 3 2" xfId="369" xr:uid="{91BC83C9-BF17-4DEF-8123-CBAEFF9B6C02}"/>
    <cellStyle name="60% - Accent2 4" xfId="345" xr:uid="{9E68FB04-8258-49C8-A277-7F0ED40FE66C}"/>
    <cellStyle name="60% - Accent3" xfId="204" builtinId="40" customBuiltin="1"/>
    <cellStyle name="60% - Accent3 2" xfId="15" xr:uid="{00000000-0005-0000-0000-00000E000000}"/>
    <cellStyle name="60% - Accent3 3" xfId="231" xr:uid="{9829666B-A5E3-4C64-9F38-03916B601AE2}"/>
    <cellStyle name="60% - Accent3 3 2" xfId="372" xr:uid="{E4EE3E12-B185-44FB-9468-56731F1450A8}"/>
    <cellStyle name="60% - Accent3 4" xfId="348" xr:uid="{97CE7DD1-C8C4-4B0C-839E-6228AFFF3F6F}"/>
    <cellStyle name="60% - Accent4" xfId="208" builtinId="44" customBuiltin="1"/>
    <cellStyle name="60% - Accent4 2" xfId="16" xr:uid="{00000000-0005-0000-0000-00000F000000}"/>
    <cellStyle name="60% - Accent4 3" xfId="234" xr:uid="{DA8515E6-2344-4BAD-8060-F79C682B088F}"/>
    <cellStyle name="60% - Accent4 3 2" xfId="375" xr:uid="{0D85F4C2-295F-4F66-854F-4A3D25AB7FF8}"/>
    <cellStyle name="60% - Accent4 4" xfId="351" xr:uid="{0EE33D22-20D8-4EC8-9093-6701C499915E}"/>
    <cellStyle name="60% - Accent5" xfId="212" builtinId="48" customBuiltin="1"/>
    <cellStyle name="60% - Accent5 2" xfId="17" xr:uid="{00000000-0005-0000-0000-000010000000}"/>
    <cellStyle name="60% - Accent5 3" xfId="237" xr:uid="{D3466E6A-534D-475D-BD1C-B9F479EAE26D}"/>
    <cellStyle name="60% - Accent5 3 2" xfId="378" xr:uid="{A3336C4F-862B-40C3-8F45-19BA9925FCCB}"/>
    <cellStyle name="60% - Accent5 4" xfId="355" xr:uid="{D0F5E41D-A20E-474E-A251-8372FA1BB5DF}"/>
    <cellStyle name="60% - Accent6" xfId="216" builtinId="52" customBuiltin="1"/>
    <cellStyle name="60% - Accent6 2" xfId="18" xr:uid="{00000000-0005-0000-0000-000011000000}"/>
    <cellStyle name="60% - Accent6 3" xfId="240" xr:uid="{1E4ED5A7-04F6-4151-B7EE-71EF3F32320F}"/>
    <cellStyle name="60% - Accent6 3 2" xfId="381" xr:uid="{28D17A86-8B38-460A-A503-EBE6E2C8225B}"/>
    <cellStyle name="60% - Accent6 4" xfId="358" xr:uid="{956263A8-AF94-4887-94BA-BEEBE5D895DA}"/>
    <cellStyle name="Accent1" xfId="193" builtinId="29" customBuiltin="1"/>
    <cellStyle name="Accent1 2" xfId="19" xr:uid="{00000000-0005-0000-0000-000012000000}"/>
    <cellStyle name="Accent2" xfId="197" builtinId="33" customBuiltin="1"/>
    <cellStyle name="Accent2 2" xfId="20" xr:uid="{00000000-0005-0000-0000-000013000000}"/>
    <cellStyle name="Accent3" xfId="201" builtinId="37" customBuiltin="1"/>
    <cellStyle name="Accent3 2" xfId="21" xr:uid="{00000000-0005-0000-0000-000014000000}"/>
    <cellStyle name="Accent4" xfId="205" builtinId="41" customBuiltin="1"/>
    <cellStyle name="Accent4 2" xfId="22" xr:uid="{00000000-0005-0000-0000-000015000000}"/>
    <cellStyle name="Accent5" xfId="209" builtinId="45" customBuiltin="1"/>
    <cellStyle name="Accent5 2" xfId="23" xr:uid="{00000000-0005-0000-0000-000016000000}"/>
    <cellStyle name="Accent6" xfId="213" builtinId="49" customBuiltin="1"/>
    <cellStyle name="Accent6 2" xfId="24" xr:uid="{00000000-0005-0000-0000-000017000000}"/>
    <cellStyle name="Bad" xfId="183" builtinId="27" customBuiltin="1"/>
    <cellStyle name="Bad 2" xfId="25" xr:uid="{00000000-0005-0000-0000-000018000000}"/>
    <cellStyle name="Calculation" xfId="187" builtinId="22" customBuiltin="1"/>
    <cellStyle name="Calculation 2" xfId="26" xr:uid="{00000000-0005-0000-0000-000019000000}"/>
    <cellStyle name="Calculation 2 2" xfId="320" xr:uid="{1D02BCBB-C967-44AC-A9D7-5831243B024F}"/>
    <cellStyle name="Calculation 2 3" xfId="393" xr:uid="{48CDF89F-11B6-4B5B-BB4B-B089B37FC7E1}"/>
    <cellStyle name="Calculation 2 4" xfId="392" xr:uid="{DA63E581-88F0-44A1-8B63-13D56ED040C2}"/>
    <cellStyle name="Check Cell" xfId="189" builtinId="23" customBuiltin="1"/>
    <cellStyle name="Check Cell 2" xfId="27" xr:uid="{00000000-0005-0000-0000-00001A000000}"/>
    <cellStyle name="ColumnHeading" xfId="28" xr:uid="{00000000-0005-0000-0000-00001B000000}"/>
    <cellStyle name="Comma" xfId="163" builtinId="3"/>
    <cellStyle name="Comma 2" xfId="29" xr:uid="{00000000-0005-0000-0000-00001C000000}"/>
    <cellStyle name="Comma 2 2" xfId="174" xr:uid="{5D96B64A-F202-442B-8106-6A59C6B000BE}"/>
    <cellStyle name="Comma 3" xfId="148" xr:uid="{8FBCA763-50CF-4ED0-AE01-AC2D20D12D7D}"/>
    <cellStyle name="Comma 3 2" xfId="332" xr:uid="{F298A210-AD0F-4368-91A3-F5AD52AE35E8}"/>
    <cellStyle name="Comma 4" xfId="157" xr:uid="{2EAE80C0-C553-486A-BCA4-DBF7E8DF18CE}"/>
    <cellStyle name="Comma 5" xfId="171" xr:uid="{F3576716-BDEA-43BE-9C73-998C0E298C49}"/>
    <cellStyle name="Comma 6" xfId="245" xr:uid="{5D125D12-7236-4EF0-9C0C-8A582A47FCAE}"/>
    <cellStyle name="Comma 6 2" xfId="386" xr:uid="{68C25399-4608-4DB3-BB86-49B11D0C828C}"/>
    <cellStyle name="CountryTitle" xfId="30" xr:uid="{00000000-0005-0000-0000-00001D000000}"/>
    <cellStyle name="Currency 2" xfId="155" xr:uid="{31D8D9B9-995D-4EB1-B224-677F9708E10A}"/>
    <cellStyle name="Explanatory Text" xfId="191" builtinId="53" customBuiltin="1"/>
    <cellStyle name="Explanatory Text 2" xfId="31" xr:uid="{00000000-0005-0000-0000-00001E000000}"/>
    <cellStyle name="Footnote" xfId="32" xr:uid="{00000000-0005-0000-0000-00001F000000}"/>
    <cellStyle name="Good" xfId="182" builtinId="26" customBuiltin="1"/>
    <cellStyle name="Good 2" xfId="33" xr:uid="{00000000-0005-0000-0000-000020000000}"/>
    <cellStyle name="Heading 1" xfId="178" builtinId="16" customBuiltin="1"/>
    <cellStyle name="Heading 1 2" xfId="34" xr:uid="{00000000-0005-0000-0000-000021000000}"/>
    <cellStyle name="Heading 2" xfId="179" builtinId="17" customBuiltin="1"/>
    <cellStyle name="Heading 2 2" xfId="35" xr:uid="{00000000-0005-0000-0000-000022000000}"/>
    <cellStyle name="Heading 3" xfId="180" builtinId="18" customBuiltin="1"/>
    <cellStyle name="Heading 3 2" xfId="36" xr:uid="{00000000-0005-0000-0000-000023000000}"/>
    <cellStyle name="Heading 4" xfId="181" builtinId="19" customBuiltin="1"/>
    <cellStyle name="Heading 4 2" xfId="37" xr:uid="{00000000-0005-0000-0000-000024000000}"/>
    <cellStyle name="Hyperlink" xfId="394" builtinId="8"/>
    <cellStyle name="Hyperlink 2" xfId="153" xr:uid="{D0ACFB57-3B9B-496E-80DB-1788508692F0}"/>
    <cellStyle name="Input" xfId="185" builtinId="20" customBuiltin="1"/>
    <cellStyle name="Input 2" xfId="38" xr:uid="{00000000-0005-0000-0000-000026000000}"/>
    <cellStyle name="Input 2 2" xfId="338" xr:uid="{8DC6CDCD-3017-48A3-B53C-19133A8B51F6}"/>
    <cellStyle name="Input 2 3" xfId="253" xr:uid="{6A2AC1A0-DF8E-4833-B587-213AD2529E92}"/>
    <cellStyle name="Input 2 4" xfId="255" xr:uid="{F86D6257-4709-499E-88A6-42AA2668253B}"/>
    <cellStyle name="Linked Cell" xfId="188" builtinId="24" customBuiltin="1"/>
    <cellStyle name="Linked Cell 2" xfId="39" xr:uid="{00000000-0005-0000-0000-000027000000}"/>
    <cellStyle name="Neutral" xfId="184" builtinId="28" customBuiltin="1"/>
    <cellStyle name="Neutral 2" xfId="40" xr:uid="{00000000-0005-0000-0000-000028000000}"/>
    <cellStyle name="Normal" xfId="0" builtinId="0"/>
    <cellStyle name="Normal [0]" xfId="41" xr:uid="{00000000-0005-0000-0000-00002A000000}"/>
    <cellStyle name="Normal [2]" xfId="42" xr:uid="{00000000-0005-0000-0000-00002B000000}"/>
    <cellStyle name="Normal 10" xfId="43" xr:uid="{00000000-0005-0000-0000-00002C000000}"/>
    <cellStyle name="Normal 10 2" xfId="177" xr:uid="{94ED3BA6-C1F2-4079-AA51-73B527D11926}"/>
    <cellStyle name="Normal 10 3" xfId="256" xr:uid="{3F464CCE-B01E-4464-82CF-85804E6C61D5}"/>
    <cellStyle name="Normal 100" xfId="44" xr:uid="{00000000-0005-0000-0000-00002D000000}"/>
    <cellStyle name="Normal 100 2" xfId="257" xr:uid="{3BC85805-0170-4A7B-A454-A3747511B078}"/>
    <cellStyle name="Normal 101" xfId="45" xr:uid="{00000000-0005-0000-0000-00002E000000}"/>
    <cellStyle name="Normal 101 2" xfId="258" xr:uid="{B298D84C-CAB3-4C41-AADD-89A5C787C511}"/>
    <cellStyle name="Normal 102" xfId="46" xr:uid="{00000000-0005-0000-0000-00002F000000}"/>
    <cellStyle name="Normal 102 2" xfId="259" xr:uid="{8DD3226B-9D2E-4AC1-8F27-C9800B731696}"/>
    <cellStyle name="Normal 103" xfId="47" xr:uid="{00000000-0005-0000-0000-000030000000}"/>
    <cellStyle name="Normal 103 2" xfId="260" xr:uid="{522318AD-D0AA-4769-B358-F28B7334402F}"/>
    <cellStyle name="Normal 104" xfId="48" xr:uid="{00000000-0005-0000-0000-000031000000}"/>
    <cellStyle name="Normal 104 2" xfId="261" xr:uid="{3B9A787A-D695-4CF5-8E71-5CD3D8C67BDC}"/>
    <cellStyle name="Normal 105" xfId="49" xr:uid="{00000000-0005-0000-0000-000032000000}"/>
    <cellStyle name="Normal 105 2" xfId="262" xr:uid="{F186E2E4-A828-4525-8751-5159AB06A910}"/>
    <cellStyle name="Normal 106" xfId="50" xr:uid="{00000000-0005-0000-0000-000033000000}"/>
    <cellStyle name="Normal 106 2" xfId="263" xr:uid="{3EB602E2-EBC6-4C24-BD11-24C550F59537}"/>
    <cellStyle name="Normal 107" xfId="51" xr:uid="{00000000-0005-0000-0000-000034000000}"/>
    <cellStyle name="Normal 107 2" xfId="264" xr:uid="{66EF5ED8-99AF-45D2-9EB3-31A551E00FBA}"/>
    <cellStyle name="Normal 108" xfId="52" xr:uid="{00000000-0005-0000-0000-000035000000}"/>
    <cellStyle name="Normal 108 2" xfId="265" xr:uid="{FEE849CB-B9D8-40E7-92A9-932DE57A3FBB}"/>
    <cellStyle name="Normal 109" xfId="53" xr:uid="{00000000-0005-0000-0000-000036000000}"/>
    <cellStyle name="Normal 109 2" xfId="266" xr:uid="{643630A1-B021-4192-A5AE-A161C4CC351F}"/>
    <cellStyle name="Normal 11" xfId="54" xr:uid="{00000000-0005-0000-0000-000037000000}"/>
    <cellStyle name="Normal 11 2" xfId="267" xr:uid="{CFFE2449-7503-41C6-9E7A-E5A5346E2120}"/>
    <cellStyle name="Normal 110" xfId="55" xr:uid="{00000000-0005-0000-0000-000038000000}"/>
    <cellStyle name="Normal 110 2" xfId="268" xr:uid="{43E6509D-9446-4342-B966-0DB0265F81CA}"/>
    <cellStyle name="Normal 111" xfId="56" xr:uid="{00000000-0005-0000-0000-000039000000}"/>
    <cellStyle name="Normal 111 2" xfId="269" xr:uid="{B1B5F676-40A3-4249-A4AB-4B7C07C0F085}"/>
    <cellStyle name="Normal 112" xfId="57" xr:uid="{00000000-0005-0000-0000-00003A000000}"/>
    <cellStyle name="Normal 112 2" xfId="270" xr:uid="{CD851274-CE13-46DB-9064-72294145B144}"/>
    <cellStyle name="Normal 113" xfId="58" xr:uid="{00000000-0005-0000-0000-00003B000000}"/>
    <cellStyle name="Normal 113 2" xfId="271" xr:uid="{7580241D-6ACF-45A2-B9EC-AFCC78B9FB67}"/>
    <cellStyle name="Normal 114" xfId="59" xr:uid="{00000000-0005-0000-0000-00003C000000}"/>
    <cellStyle name="Normal 114 2" xfId="272" xr:uid="{9DA6F4DD-EBB5-4F5E-B12A-E7C85E60EE44}"/>
    <cellStyle name="Normal 115" xfId="60" xr:uid="{00000000-0005-0000-0000-00003D000000}"/>
    <cellStyle name="Normal 115 2" xfId="273" xr:uid="{97110103-561C-4487-A37C-92342AAB8F3B}"/>
    <cellStyle name="Normal 116" xfId="61" xr:uid="{00000000-0005-0000-0000-00003E000000}"/>
    <cellStyle name="Normal 116 2" xfId="274" xr:uid="{575D17E7-33CB-4DFF-8B1F-71CB215DA125}"/>
    <cellStyle name="Normal 117" xfId="62" xr:uid="{00000000-0005-0000-0000-00003F000000}"/>
    <cellStyle name="Normal 117 2" xfId="275" xr:uid="{EB0B40A5-6A09-4F76-B1ED-03808E279404}"/>
    <cellStyle name="Normal 118" xfId="63" xr:uid="{00000000-0005-0000-0000-000040000000}"/>
    <cellStyle name="Normal 118 2" xfId="276" xr:uid="{C67B4526-036B-4E5F-BE0A-A3AFD903CA12}"/>
    <cellStyle name="Normal 119" xfId="64" xr:uid="{00000000-0005-0000-0000-000041000000}"/>
    <cellStyle name="Normal 119 2" xfId="277" xr:uid="{6980C5D1-492B-48D8-893B-AA8D3A861391}"/>
    <cellStyle name="Normal 12" xfId="65" xr:uid="{00000000-0005-0000-0000-000042000000}"/>
    <cellStyle name="Normal 12 2" xfId="278" xr:uid="{B9E6B75B-A153-45EF-B07E-C14ABE9A4C02}"/>
    <cellStyle name="Normal 120" xfId="66" xr:uid="{00000000-0005-0000-0000-000043000000}"/>
    <cellStyle name="Normal 120 2" xfId="279" xr:uid="{D1968531-430B-4D00-918D-BB5A81D091A5}"/>
    <cellStyle name="Normal 121" xfId="67" xr:uid="{00000000-0005-0000-0000-000044000000}"/>
    <cellStyle name="Normal 121 2" xfId="280" xr:uid="{2F0E1DA9-77B8-4F0F-B933-375DD229C4E9}"/>
    <cellStyle name="Normal 13" xfId="68" xr:uid="{00000000-0005-0000-0000-000045000000}"/>
    <cellStyle name="Normal 13 2" xfId="281" xr:uid="{8DF68779-F93B-4254-A700-447FEA2A98A8}"/>
    <cellStyle name="Normal 14" xfId="69" xr:uid="{00000000-0005-0000-0000-000046000000}"/>
    <cellStyle name="Normal 14 2" xfId="282" xr:uid="{D1D05880-E649-4AC4-B726-1DFA9375EADF}"/>
    <cellStyle name="Normal 15" xfId="70" xr:uid="{00000000-0005-0000-0000-000047000000}"/>
    <cellStyle name="Normal 15 2" xfId="283" xr:uid="{19926242-3082-4045-B856-61CC2771E299}"/>
    <cellStyle name="Normal 16" xfId="71" xr:uid="{00000000-0005-0000-0000-000048000000}"/>
    <cellStyle name="Normal 16 2" xfId="284" xr:uid="{F25AE7AE-8645-4181-BFC9-165B7ECFA091}"/>
    <cellStyle name="Normal 17" xfId="72" xr:uid="{00000000-0005-0000-0000-000049000000}"/>
    <cellStyle name="Normal 17 2" xfId="285" xr:uid="{69EC5E7C-B122-4C29-88F0-68D9C0969C41}"/>
    <cellStyle name="Normal 18" xfId="73" xr:uid="{00000000-0005-0000-0000-00004A000000}"/>
    <cellStyle name="Normal 18 2" xfId="286" xr:uid="{73438EE6-F4B1-4D51-99EC-A1924F41994B}"/>
    <cellStyle name="Normal 19" xfId="74" xr:uid="{00000000-0005-0000-0000-00004B000000}"/>
    <cellStyle name="Normal 19 2" xfId="287" xr:uid="{3E4D814B-9950-41C7-8646-0D893AE0C796}"/>
    <cellStyle name="Normal 2" xfId="75" xr:uid="{00000000-0005-0000-0000-00004C000000}"/>
    <cellStyle name="Normal 2 2" xfId="76" xr:uid="{00000000-0005-0000-0000-00004D000000}"/>
    <cellStyle name="Normal 2 2 2" xfId="77" xr:uid="{00000000-0005-0000-0000-00004E000000}"/>
    <cellStyle name="Normal 2 2 2 2" xfId="290" xr:uid="{FB667EF6-F849-412D-BCC8-83F0DA57CB71}"/>
    <cellStyle name="Normal 2 2 3" xfId="165" xr:uid="{15E4120E-CC2E-46E9-A442-CDA6BF6BA365}"/>
    <cellStyle name="Normal 2 3" xfId="78" xr:uid="{00000000-0005-0000-0000-00004F000000}"/>
    <cellStyle name="Normal 2 3 2" xfId="79" xr:uid="{00000000-0005-0000-0000-000050000000}"/>
    <cellStyle name="Normal 2 3 2 2" xfId="292" xr:uid="{4388DC6C-D853-43A0-ADDB-CE209CA23609}"/>
    <cellStyle name="Normal 2 3 3" xfId="166" xr:uid="{41A09E21-1BBC-4FCD-B056-58CD430EF933}"/>
    <cellStyle name="Normal 2 3 4" xfId="291" xr:uid="{85B95153-9656-4E7C-A203-4E5E43AB4118}"/>
    <cellStyle name="Normal 2 4" xfId="80" xr:uid="{00000000-0005-0000-0000-000051000000}"/>
    <cellStyle name="Normal 2 4 2" xfId="293" xr:uid="{28D0F811-C8F2-45DD-B3E4-85D04B133EC4}"/>
    <cellStyle name="Normal 2 5" xfId="175" xr:uid="{D2653619-B074-4A3A-AC04-E932B85C5159}"/>
    <cellStyle name="Normal 2 6" xfId="247" xr:uid="{7DEFC463-A234-4860-BCEF-AB49523999C6}"/>
    <cellStyle name="Normal 2 6 2" xfId="387" xr:uid="{A40CB731-0338-4960-B107-57F363B7438B}"/>
    <cellStyle name="Normal 20" xfId="81" xr:uid="{00000000-0005-0000-0000-000052000000}"/>
    <cellStyle name="Normal 20 2" xfId="294" xr:uid="{47AFBF3C-A19E-4045-95D7-6BD2D9FDD620}"/>
    <cellStyle name="Normal 21" xfId="82" xr:uid="{00000000-0005-0000-0000-000053000000}"/>
    <cellStyle name="Normal 21 2" xfId="295" xr:uid="{5AFE0987-FCB6-4E2C-B818-4586BB66A893}"/>
    <cellStyle name="Normal 22" xfId="83" xr:uid="{00000000-0005-0000-0000-000054000000}"/>
    <cellStyle name="Normal 22 2" xfId="296" xr:uid="{EA83FFB7-D4B8-45CA-97CF-89389EFB0508}"/>
    <cellStyle name="Normal 23" xfId="84" xr:uid="{00000000-0005-0000-0000-000055000000}"/>
    <cellStyle name="Normal 23 2" xfId="297" xr:uid="{D5CF6846-7A7B-4B67-AA28-950DA7286503}"/>
    <cellStyle name="Normal 24" xfId="85" xr:uid="{00000000-0005-0000-0000-000056000000}"/>
    <cellStyle name="Normal 24 2" xfId="298" xr:uid="{6776C62E-1D3C-481B-9911-392A4A4DDAF4}"/>
    <cellStyle name="Normal 25" xfId="86" xr:uid="{00000000-0005-0000-0000-000057000000}"/>
    <cellStyle name="Normal 25 2" xfId="299" xr:uid="{214FF30B-CC30-4C07-AA05-1AAB02C6A413}"/>
    <cellStyle name="Normal 26" xfId="87" xr:uid="{00000000-0005-0000-0000-000058000000}"/>
    <cellStyle name="Normal 26 2" xfId="300" xr:uid="{0B8408D8-A072-4FB4-ACB8-003D0E61A6F8}"/>
    <cellStyle name="Normal 27" xfId="88" xr:uid="{00000000-0005-0000-0000-000059000000}"/>
    <cellStyle name="Normal 27 2" xfId="301" xr:uid="{B0B867EC-E584-4F62-B06B-D521EB41F988}"/>
    <cellStyle name="Normal 28" xfId="89" xr:uid="{00000000-0005-0000-0000-00005A000000}"/>
    <cellStyle name="Normal 28 2" xfId="302" xr:uid="{1AF5DB49-ECB3-40DE-B3EC-B937AA7D957D}"/>
    <cellStyle name="Normal 29" xfId="90" xr:uid="{00000000-0005-0000-0000-00005B000000}"/>
    <cellStyle name="Normal 3" xfId="91" xr:uid="{00000000-0005-0000-0000-00005C000000}"/>
    <cellStyle name="Normal 3 2" xfId="92" xr:uid="{00000000-0005-0000-0000-00005D000000}"/>
    <cellStyle name="Normal 3 3" xfId="93" xr:uid="{00000000-0005-0000-0000-00005E000000}"/>
    <cellStyle name="Normal 3 3 2" xfId="303" xr:uid="{B81E1003-2DF8-415D-8EF5-CFB7E26013EF}"/>
    <cellStyle name="Normal 3 4" xfId="173" xr:uid="{58225515-713A-41A2-9C4F-A80CB642100D}"/>
    <cellStyle name="Normal 30" xfId="94" xr:uid="{00000000-0005-0000-0000-00005F000000}"/>
    <cellStyle name="Normal 31" xfId="95" xr:uid="{00000000-0005-0000-0000-000060000000}"/>
    <cellStyle name="Normal 32" xfId="151" xr:uid="{F5B0E700-5FC5-4033-A2D3-77C50D0311A5}"/>
    <cellStyle name="Normal 32 2" xfId="335" xr:uid="{191A17B6-63B5-464F-8D4F-A237E0256703}"/>
    <cellStyle name="Normal 33" xfId="154" xr:uid="{7D9CCB59-D355-4608-9F16-96FEDC7FA1A5}"/>
    <cellStyle name="Normal 34" xfId="160" xr:uid="{2AC42DCA-CFBF-424D-AE4E-06713F56F4DD}"/>
    <cellStyle name="Normal 35" xfId="159" xr:uid="{FAC2DBC3-C58B-45D6-8178-CDCE4C0C39BC}"/>
    <cellStyle name="Normal 36" xfId="161" xr:uid="{0227FD6D-DF7B-49A1-B7EE-24EDB6001C2D}"/>
    <cellStyle name="Normal 37" xfId="162" xr:uid="{6AB43086-D5DF-4F87-B6AA-F6A2F38B64B5}"/>
    <cellStyle name="Normal 38" xfId="164" xr:uid="{F871D06A-A80C-4952-B28D-D0C643B7A46F}"/>
    <cellStyle name="Normal 39" xfId="168" xr:uid="{606E3F91-5453-483A-B15D-6E7B458243CF}"/>
    <cellStyle name="Normal 4" xfId="96" xr:uid="{00000000-0005-0000-0000-000061000000}"/>
    <cellStyle name="Normal 4 2" xfId="97" xr:uid="{00000000-0005-0000-0000-000062000000}"/>
    <cellStyle name="Normal 4 3" xfId="156" xr:uid="{8CD58848-334B-4089-BF13-5D358B76509F}"/>
    <cellStyle name="Normal 4 4" xfId="304" xr:uid="{5E0980B8-2EC2-4FB6-B4CC-B565E13A0B5A}"/>
    <cellStyle name="Normal 40" xfId="169" xr:uid="{823299A7-5FF3-4178-A295-EF2BFDFDFBEF}"/>
    <cellStyle name="Normal 41" xfId="170" xr:uid="{D340250A-B950-4C8C-8238-E8673A73BE93}"/>
    <cellStyle name="Normal 42" xfId="217" xr:uid="{1BA7E7A4-185A-47CE-B6F4-4A2D8F471B94}"/>
    <cellStyle name="Normal 42 2" xfId="359" xr:uid="{278C5354-9A50-4420-96B6-34C0F1CD609E}"/>
    <cellStyle name="Normal 43" xfId="220" xr:uid="{2134EB6F-6E47-42AE-9E1B-82529BAA6B0D}"/>
    <cellStyle name="Normal 43 2" xfId="361" xr:uid="{09A44B6E-52EE-4727-A2A7-76269863F173}"/>
    <cellStyle name="Normal 44" xfId="221" xr:uid="{A7672537-CCD0-44DE-B246-E040AD7BC223}"/>
    <cellStyle name="Normal 44 2" xfId="362" xr:uid="{A7B9032D-BF68-48C5-92C8-4FB8AAC4FC73}"/>
    <cellStyle name="Normal 45" xfId="241" xr:uid="{57957536-EB3A-45E1-B262-0F1AC2A408B6}"/>
    <cellStyle name="Normal 45 2" xfId="382" xr:uid="{0F7246A5-A2B0-4E3A-812C-2BE460B2348B}"/>
    <cellStyle name="Normal 46" xfId="242" xr:uid="{84214260-51A1-42E2-B6ED-E3B7DBE099C4}"/>
    <cellStyle name="Normal 46 2" xfId="383" xr:uid="{85D7ED0C-6A82-4E96-92A1-5BF66C804421}"/>
    <cellStyle name="Normal 47" xfId="243" xr:uid="{39806EE5-60EA-4324-A8CD-10C0FE8D3762}"/>
    <cellStyle name="Normal 47 2" xfId="384" xr:uid="{D4CA52CB-E713-4AF2-A895-4BC3ED17B2BC}"/>
    <cellStyle name="Normal 48" xfId="246" xr:uid="{2339B395-40CD-46AE-AFB2-2FB775AFB5EB}"/>
    <cellStyle name="Normal 49" xfId="248" xr:uid="{F4023C51-F5F8-44B8-A8FF-BCEA713D141C}"/>
    <cellStyle name="Normal 5" xfId="98" xr:uid="{00000000-0005-0000-0000-000063000000}"/>
    <cellStyle name="Normal 5 2" xfId="99" xr:uid="{00000000-0005-0000-0000-000064000000}"/>
    <cellStyle name="Normal 5 3" xfId="305" xr:uid="{8282F5DD-B7E6-48F9-BE8C-9C1840D5FFA5}"/>
    <cellStyle name="Normal 50" xfId="249" xr:uid="{F8A4D9C2-3AB9-47AC-8A84-C0829F3DE168}"/>
    <cellStyle name="Normal 51" xfId="250" xr:uid="{CEAAB947-9FB8-4874-B4CE-546D28C297B8}"/>
    <cellStyle name="Normal 52" xfId="251" xr:uid="{344FA4FB-88CA-4179-92DB-84CE3BB0A27E}"/>
    <cellStyle name="Normal 53" xfId="252" xr:uid="{810AA1AC-E88B-46A5-BA17-AF26F7A7866A}"/>
    <cellStyle name="Normal 6" xfId="100" xr:uid="{00000000-0005-0000-0000-000065000000}"/>
    <cellStyle name="Normal 6 2" xfId="101" xr:uid="{00000000-0005-0000-0000-000066000000}"/>
    <cellStyle name="Normal 6 3" xfId="306" xr:uid="{57118F1E-04B5-47B0-AFF5-5BEAAB8A9DD0}"/>
    <cellStyle name="Normal 61" xfId="102" xr:uid="{00000000-0005-0000-0000-000067000000}"/>
    <cellStyle name="Normal 61 2" xfId="307" xr:uid="{4FFBB1D9-13E3-4BE1-BA78-ED815C92CCF9}"/>
    <cellStyle name="Normal 7" xfId="103" xr:uid="{00000000-0005-0000-0000-000068000000}"/>
    <cellStyle name="Normal 7 2" xfId="104" xr:uid="{00000000-0005-0000-0000-000069000000}"/>
    <cellStyle name="Normal 7 3" xfId="308" xr:uid="{7FD4C6DC-F238-428F-A80B-24767857BB40}"/>
    <cellStyle name="Normal 75" xfId="105" xr:uid="{00000000-0005-0000-0000-00006A000000}"/>
    <cellStyle name="Normal 75 2" xfId="309" xr:uid="{57F66289-B3CF-4636-B822-AA817567D412}"/>
    <cellStyle name="Normal 76" xfId="106" xr:uid="{00000000-0005-0000-0000-00006B000000}"/>
    <cellStyle name="Normal 76 2" xfId="310" xr:uid="{1C9EE48F-1BD4-4DA8-8197-CC896CD7549D}"/>
    <cellStyle name="Normal 77" xfId="107" xr:uid="{00000000-0005-0000-0000-00006C000000}"/>
    <cellStyle name="Normal 77 2" xfId="311" xr:uid="{F1D85426-C6A1-4DE7-BECC-3790B5206C70}"/>
    <cellStyle name="Normal 79" xfId="108" xr:uid="{00000000-0005-0000-0000-00006D000000}"/>
    <cellStyle name="Normal 79 2" xfId="312" xr:uid="{5C4B2301-E05A-41AF-89A6-4BE48AC7F0F5}"/>
    <cellStyle name="Normal 8" xfId="109" xr:uid="{00000000-0005-0000-0000-00006E000000}"/>
    <cellStyle name="Normal 8 2" xfId="110" xr:uid="{00000000-0005-0000-0000-00006F000000}"/>
    <cellStyle name="Normal 8 3" xfId="313" xr:uid="{95195433-3D45-4C0F-A837-3EAF8F070584}"/>
    <cellStyle name="Normal 80" xfId="111" xr:uid="{00000000-0005-0000-0000-000070000000}"/>
    <cellStyle name="Normal 80 2" xfId="147" xr:uid="{3143AC23-A5F9-4AA1-AAB6-860297277171}"/>
    <cellStyle name="Normal 80 2 2" xfId="331" xr:uid="{98C37DBA-9806-4F0D-B782-957A421E1A46}"/>
    <cellStyle name="Normal 80 3" xfId="314" xr:uid="{DA1A40C6-D251-44E3-9F1E-80F5E903A1B0}"/>
    <cellStyle name="Normal 81" xfId="112" xr:uid="{00000000-0005-0000-0000-000071000000}"/>
    <cellStyle name="Normal 81 2" xfId="315" xr:uid="{45F04C5F-EFED-4CDD-88D1-6C64E5BDF6A1}"/>
    <cellStyle name="Normal 86" xfId="113" xr:uid="{00000000-0005-0000-0000-000072000000}"/>
    <cellStyle name="Normal 86 2" xfId="316" xr:uid="{E2A17EDF-C753-4B49-974B-131A501DD811}"/>
    <cellStyle name="Normal 88" xfId="114" xr:uid="{00000000-0005-0000-0000-000073000000}"/>
    <cellStyle name="Normal 88 2" xfId="317" xr:uid="{5BC31184-4257-43C7-A985-7F164B8A9088}"/>
    <cellStyle name="Normal 89" xfId="115" xr:uid="{00000000-0005-0000-0000-000074000000}"/>
    <cellStyle name="Normal 89 2" xfId="318" xr:uid="{6E668393-7E2C-4091-A077-63219580399E}"/>
    <cellStyle name="Normal 9" xfId="116" xr:uid="{00000000-0005-0000-0000-000075000000}"/>
    <cellStyle name="Normal 9 2" xfId="117" xr:uid="{00000000-0005-0000-0000-000076000000}"/>
    <cellStyle name="Normal 9 3" xfId="319" xr:uid="{289BD44C-2DFB-4AEC-A564-45234D8B3CB8}"/>
    <cellStyle name="Normal 90" xfId="118" xr:uid="{00000000-0005-0000-0000-000077000000}"/>
    <cellStyle name="Normal 90 2" xfId="321" xr:uid="{E37F3D5A-DC0C-4D49-8A10-27D52ED33F14}"/>
    <cellStyle name="Normal 91" xfId="119" xr:uid="{00000000-0005-0000-0000-000078000000}"/>
    <cellStyle name="Normal 91 2" xfId="322" xr:uid="{DE553162-3D9D-4854-919C-6AD0F0BD9810}"/>
    <cellStyle name="Normal 92" xfId="120" xr:uid="{00000000-0005-0000-0000-000079000000}"/>
    <cellStyle name="Normal 92 2" xfId="323" xr:uid="{E1AC432C-057D-42DF-B116-161652803767}"/>
    <cellStyle name="Normal 93" xfId="121" xr:uid="{00000000-0005-0000-0000-00007A000000}"/>
    <cellStyle name="Normal 93 2" xfId="324" xr:uid="{A9597A2C-7887-4119-8961-8DFF94C87691}"/>
    <cellStyle name="Normal 94" xfId="122" xr:uid="{00000000-0005-0000-0000-00007B000000}"/>
    <cellStyle name="Normal 94 2" xfId="325" xr:uid="{6DCC39C6-AAC3-480F-8730-862C29751CD2}"/>
    <cellStyle name="Normal 95" xfId="123" xr:uid="{00000000-0005-0000-0000-00007C000000}"/>
    <cellStyle name="Normal 95 2" xfId="326" xr:uid="{FA0F2A00-7D88-4A24-A954-189EAAE29C4D}"/>
    <cellStyle name="Normal 96" xfId="124" xr:uid="{00000000-0005-0000-0000-00007D000000}"/>
    <cellStyle name="Normal 96 2" xfId="327" xr:uid="{986C7107-225D-4074-A4EB-06747961846C}"/>
    <cellStyle name="Normal 97" xfId="125" xr:uid="{00000000-0005-0000-0000-00007E000000}"/>
    <cellStyle name="Normal 97 2" xfId="328" xr:uid="{7E96E46B-33F4-4D9A-8288-0EB8A268063D}"/>
    <cellStyle name="Normal 98" xfId="126" xr:uid="{00000000-0005-0000-0000-00007F000000}"/>
    <cellStyle name="Normal 98 2" xfId="329" xr:uid="{213B0CCA-DEB2-4650-8784-A3A15C198279}"/>
    <cellStyle name="Normal 99" xfId="127" xr:uid="{00000000-0005-0000-0000-000080000000}"/>
    <cellStyle name="Normal 99 2" xfId="330" xr:uid="{545EBBA2-6710-40D8-842A-0F6794D67C9F}"/>
    <cellStyle name="Note 2" xfId="128" xr:uid="{00000000-0005-0000-0000-000081000000}"/>
    <cellStyle name="Note 2 2" xfId="388" xr:uid="{CD8EC480-2A47-4EA3-BEE4-7FA915362C17}"/>
    <cellStyle name="Note 2 3" xfId="288" xr:uid="{D316E790-6E63-4050-8327-9E04EE8BCB2F}"/>
    <cellStyle name="Note 2 4" xfId="352" xr:uid="{9EC6CCE1-A1BF-45A6-A41B-2CAA3EC9DE86}"/>
    <cellStyle name="Note 3" xfId="219" xr:uid="{7FCFCBFD-DB4F-4DE0-9486-350BD51538F4}"/>
    <cellStyle name="Note 3 2" xfId="360" xr:uid="{9BB714DC-81A0-45DE-8517-47541763A22E}"/>
    <cellStyle name="Note 4" xfId="222" xr:uid="{C8905AAF-43E2-4145-8022-2F9EF7838586}"/>
    <cellStyle name="Note 4 2" xfId="363" xr:uid="{DECAABAC-A78C-4AAF-BD9A-A5B960CDADD9}"/>
    <cellStyle name="Output" xfId="186" builtinId="21" customBuiltin="1"/>
    <cellStyle name="Output 2" xfId="129" xr:uid="{00000000-0005-0000-0000-000082000000}"/>
    <cellStyle name="Output 2 2" xfId="389" xr:uid="{1360B823-1E75-4686-937A-B969B015FD09}"/>
    <cellStyle name="Output 2 3" xfId="289" xr:uid="{22D80A8C-135E-4E7A-96F5-38D8299A3602}"/>
    <cellStyle name="Output 2 4" xfId="254" xr:uid="{4B5DD8A2-F0DD-43FD-A57A-819261D06C57}"/>
    <cellStyle name="Percent" xfId="167" builtinId="5"/>
    <cellStyle name="Percent 10" xfId="244" xr:uid="{97204D0C-1DC7-4B6F-9352-93D533A54CD0}"/>
    <cellStyle name="Percent 10 2" xfId="385" xr:uid="{6B59ACC7-4236-4BCA-9E7F-B3F3118037BC}"/>
    <cellStyle name="Percent 2" xfId="130" xr:uid="{00000000-0005-0000-0000-000083000000}"/>
    <cellStyle name="Percent 2 2" xfId="131" xr:uid="{00000000-0005-0000-0000-000084000000}"/>
    <cellStyle name="Percent 3" xfId="132" xr:uid="{00000000-0005-0000-0000-000085000000}"/>
    <cellStyle name="Percent 3 4" xfId="176" xr:uid="{CEE76AD9-0809-41A3-8343-E53880C0A483}"/>
    <cellStyle name="Percent 3 4 2" xfId="339" xr:uid="{7459F552-99C8-4206-8029-F7103033B8A5}"/>
    <cellStyle name="Percent 4" xfId="133" xr:uid="{00000000-0005-0000-0000-000086000000}"/>
    <cellStyle name="Percent 5" xfId="149" xr:uid="{7FA79AF5-804E-4977-9DD8-3E9A7CFEF795}"/>
    <cellStyle name="Percent 5 2" xfId="333" xr:uid="{185D9011-B1D8-4DC9-8410-B80BAB10FBA2}"/>
    <cellStyle name="Percent 6" xfId="150" xr:uid="{4B40703A-18EA-449A-9826-5F0F68024758}"/>
    <cellStyle name="Percent 6 2" xfId="334" xr:uid="{A182901A-DB11-4F62-9747-EDC1A6695779}"/>
    <cellStyle name="Percent 7" xfId="152" xr:uid="{ABC3F204-0302-4D73-9BC8-90DC69A5E558}"/>
    <cellStyle name="Percent 7 2" xfId="336" xr:uid="{B5724C20-D96B-45C6-A9F8-93B039CD812D}"/>
    <cellStyle name="Percent 8" xfId="158" xr:uid="{F22642D0-2F8C-44BF-B07E-E7E77A093205}"/>
    <cellStyle name="Percent 9" xfId="172" xr:uid="{76FAE3C1-3ECF-438B-8E62-00503F8F2314}"/>
    <cellStyle name="RowHeading" xfId="134" xr:uid="{00000000-0005-0000-0000-000087000000}"/>
    <cellStyle name="Style 1" xfId="135" xr:uid="{00000000-0005-0000-0000-000088000000}"/>
    <cellStyle name="SubHeading" xfId="136" xr:uid="{00000000-0005-0000-0000-000089000000}"/>
    <cellStyle name="SubsidTitle" xfId="137" xr:uid="{00000000-0005-0000-0000-00008A000000}"/>
    <cellStyle name="Title" xfId="138" builtinId="15" customBuiltin="1"/>
    <cellStyle name="Title 2" xfId="139" xr:uid="{00000000-0005-0000-0000-00008C000000}"/>
    <cellStyle name="Title 3" xfId="218" xr:uid="{7598AEF7-D611-4F93-B2DB-627DFA0D52ED}"/>
    <cellStyle name="Total" xfId="192" builtinId="25" customBuiltin="1"/>
    <cellStyle name="Total 2" xfId="140" xr:uid="{00000000-0005-0000-0000-00008D000000}"/>
    <cellStyle name="Total 2 2" xfId="390" xr:uid="{B52ACE33-34B1-41E6-B022-4A0C25138EE9}"/>
    <cellStyle name="Total 2 3" xfId="337" xr:uid="{F46C0B41-956C-4CAF-9E4F-62511B9DF242}"/>
    <cellStyle name="Total 2 4" xfId="391" xr:uid="{87E5B88F-A8F2-4F07-9959-0B2F3EC255A0}"/>
    <cellStyle name="Totals" xfId="141" xr:uid="{00000000-0005-0000-0000-00008E000000}"/>
    <cellStyle name="Totals [0]" xfId="142" xr:uid="{00000000-0005-0000-0000-00008F000000}"/>
    <cellStyle name="Totals [2]" xfId="143" xr:uid="{00000000-0005-0000-0000-000090000000}"/>
    <cellStyle name="Warning Text" xfId="190" builtinId="11" customBuiltin="1"/>
    <cellStyle name="Warning Text 2" xfId="144" xr:uid="{00000000-0005-0000-0000-000091000000}"/>
    <cellStyle name="Year" xfId="145" xr:uid="{00000000-0005-0000-0000-000092000000}"/>
    <cellStyle name="標準_m125x_入力訂正84_入力訂正84_入力訂正84_入力訂正84_入力訂正86_入力訂正84_入力訂正85" xfId="146" xr:uid="{00000000-0005-0000-0000-000093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EEAE9"/>
      <rgbColor rgb="00F68932"/>
      <rgbColor rgb="00FFEAB5"/>
      <rgbColor rgb="00A2BACC"/>
      <rgbColor rgb="00986F94"/>
      <rgbColor rgb="00FFEEC6"/>
      <rgbColor rgb="00D4E7F7"/>
      <rgbColor rgb="00CAC0B6"/>
      <rgbColor rgb="0000A4E3"/>
      <rgbColor rgb="0006357A"/>
      <rgbColor rgb="00ADAFB2"/>
      <rgbColor rgb="00008542"/>
      <rgbColor rgb="00EAA814"/>
      <rgbColor rgb="00A31C37"/>
      <rgbColor rgb="0071997F"/>
      <rgbColor rgb="005C1848"/>
      <rgbColor rgb="00786592"/>
      <rgbColor rgb="00FF4E50"/>
      <rgbColor rgb="00026475"/>
      <rgbColor rgb="00EFD307"/>
      <rgbColor rgb="00E2F0FA"/>
      <rgbColor rgb="005C6D00"/>
      <rgbColor rgb="00D26400"/>
      <rgbColor rgb="00027971"/>
      <rgbColor rgb="0000CCFF"/>
      <rgbColor rgb="00E2F0FA"/>
      <rgbColor rgb="00A3A2C0"/>
      <rgbColor rgb="0097C7ED"/>
      <rgbColor rgb="00CECED0"/>
      <rgbColor rgb="0089B084"/>
      <rgbColor rgb="00F5CB80"/>
      <rgbColor rgb="00C57677"/>
      <rgbColor rgb="0083A8A4"/>
      <rgbColor rgb="00916481"/>
      <rgbColor rgb="00D4CEDE"/>
      <rgbColor rgb="00FAEDB4"/>
      <rgbColor rgb="008FA7B4"/>
      <rgbColor rgb="00F8C1B8"/>
      <rgbColor rgb="00CEE8E8"/>
      <rgbColor rgb="00BBBC9B"/>
      <rgbColor rgb="00EEC39E"/>
      <rgbColor rgb="00C9D4C9"/>
      <rgbColor rgb="00B48E33"/>
      <rgbColor rgb="007A1227"/>
      <rgbColor rgb="00993300"/>
      <rgbColor rgb="00993366"/>
      <rgbColor rgb="00333399"/>
      <rgbColor rgb="00333333"/>
    </indexedColors>
    <mruColors>
      <color rgb="FF003C3C"/>
      <color rgb="FFEAEAEA"/>
      <color rgb="FFDDDDDD"/>
      <color rgb="FF000163"/>
      <color rgb="FF0024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icmm2.sharepoint.com/sites/Data-MaterialsStewardship-TailingsMgmt2025-2029/Shared%20Documents/Data%20and%20Research/2.0%20Activities/2.0%20Scope1and2/2.1.4%20Deliverables/FOR%20PUBLICATION/Worksheet%20in%20PriceChartsNSWHardCoking1965to99andThermal1979to99Japan-f.doc?294079A1" TargetMode="External"/><Relationship Id="rId1" Type="http://schemas.openxmlformats.org/officeDocument/2006/relationships/externalLinkPath" Target="file:///\\294079A1\Worksheet%20in%20PriceChartsNSWHardCoking1965to99andThermal1979to99Japan-f.do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7"/>
      <sheetName val="A"/>
      <sheetName val="Current"/>
      <sheetName val="Chart 1A"/>
      <sheetName val="Chart1"/>
      <sheetName val="Chart2"/>
      <sheetName val="Chart3"/>
      <sheetName val="Chart4"/>
      <sheetName val="Chart5"/>
      <sheetName val="Chart6"/>
      <sheetName val="Chart 2A"/>
      <sheetName val="Chart 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WoodMac">
  <a:themeElements>
    <a:clrScheme name="WoodMac">
      <a:dk1>
        <a:sysClr val="windowText" lastClr="000000"/>
      </a:dk1>
      <a:lt1>
        <a:sysClr val="window" lastClr="FFFFFF"/>
      </a:lt1>
      <a:dk2>
        <a:srgbClr val="5D87A1"/>
      </a:dk2>
      <a:lt2>
        <a:srgbClr val="E2F0FA"/>
      </a:lt2>
      <a:accent1>
        <a:srgbClr val="00A4E3"/>
      </a:accent1>
      <a:accent2>
        <a:srgbClr val="06357A"/>
      </a:accent2>
      <a:accent3>
        <a:srgbClr val="E2A856"/>
      </a:accent3>
      <a:accent4>
        <a:srgbClr val="ADD5F1"/>
      </a:accent4>
      <a:accent5>
        <a:srgbClr val="6D276A"/>
      </a:accent5>
      <a:accent6>
        <a:srgbClr val="9398CC"/>
      </a:accent6>
      <a:hlink>
        <a:srgbClr val="06357A"/>
      </a:hlink>
      <a:folHlink>
        <a:srgbClr val="00A4E3"/>
      </a:folHlink>
    </a:clrScheme>
    <a:fontScheme name="WoodMa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data@icmm.com?subject=Global-Mining-&amp;-Metals-GHG-Emissions-Dataset-2026" TargetMode="External"/><Relationship Id="rId2" Type="http://schemas.openxmlformats.org/officeDocument/2006/relationships/hyperlink" Target="mailto:data@icmm.com?subject=Global-Mining-&amp;-Metals-GHG-Emissions-Dataset-2026" TargetMode="External"/><Relationship Id="rId1" Type="http://schemas.openxmlformats.org/officeDocument/2006/relationships/hyperlink" Target="https://www.icmm.com/website/data/2026/research_mining-metals-ghg-emissions.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C8816-1FEE-4BC2-8D38-A8D458A2B6C3}">
  <dimension ref="B1:H26"/>
  <sheetViews>
    <sheetView topLeftCell="A21" workbookViewId="0">
      <selection activeCell="K7" sqref="K7"/>
    </sheetView>
  </sheetViews>
  <sheetFormatPr defaultColWidth="8.6640625" defaultRowHeight="11.7"/>
  <cols>
    <col min="1" max="1" width="8.73046875" style="88" customWidth="1"/>
    <col min="2" max="2" width="17.3984375" style="88" customWidth="1"/>
    <col min="3" max="3" width="19.1328125" style="88" customWidth="1"/>
    <col min="4" max="8" width="17.3984375" style="88" customWidth="1"/>
    <col min="9" max="9" width="8.796875" style="88" customWidth="1"/>
    <col min="10" max="10" width="8.73046875" style="88" customWidth="1"/>
    <col min="11" max="16384" width="8.6640625" style="88"/>
  </cols>
  <sheetData>
    <row r="1" spans="2:8" ht="22.5" customHeight="1">
      <c r="B1" s="98" t="s">
        <v>79</v>
      </c>
      <c r="C1" s="99"/>
      <c r="D1" s="99"/>
      <c r="E1" s="99"/>
      <c r="F1" s="99"/>
      <c r="G1" s="99"/>
      <c r="H1" s="99"/>
    </row>
    <row r="2" spans="2:8" s="89" customFormat="1" ht="13.3" customHeight="1">
      <c r="B2" s="100" t="s">
        <v>110</v>
      </c>
      <c r="C2" s="101"/>
      <c r="D2" s="101"/>
      <c r="E2" s="101"/>
      <c r="F2" s="101"/>
      <c r="G2" s="101"/>
      <c r="H2" s="101"/>
    </row>
    <row r="3" spans="2:8" s="89" customFormat="1" ht="13.3" customHeight="1">
      <c r="B3" s="102" t="s">
        <v>112</v>
      </c>
      <c r="C3" s="102"/>
      <c r="D3" s="102"/>
      <c r="E3" s="102"/>
      <c r="F3" s="102"/>
      <c r="G3" s="102"/>
      <c r="H3" s="102"/>
    </row>
    <row r="4" spans="2:8" s="89" customFormat="1" ht="14.4">
      <c r="B4" s="101"/>
      <c r="C4" s="101"/>
      <c r="D4" s="101"/>
      <c r="E4" s="101"/>
      <c r="F4" s="101"/>
      <c r="G4" s="101"/>
      <c r="H4" s="101"/>
    </row>
    <row r="5" spans="2:8" s="89" customFormat="1" ht="52.5" customHeight="1">
      <c r="B5" s="103" t="s">
        <v>80</v>
      </c>
      <c r="C5" s="104"/>
      <c r="D5" s="104"/>
      <c r="E5" s="104"/>
      <c r="F5" s="104"/>
      <c r="G5" s="104"/>
      <c r="H5" s="105"/>
    </row>
    <row r="6" spans="2:8" s="89" customFormat="1" ht="14.4">
      <c r="B6" s="90"/>
      <c r="C6" s="90"/>
      <c r="D6" s="90"/>
      <c r="E6" s="90"/>
      <c r="F6" s="90"/>
      <c r="G6" s="90"/>
      <c r="H6" s="90"/>
    </row>
    <row r="7" spans="2:8" s="91" customFormat="1" ht="227.1" customHeight="1">
      <c r="B7" s="97" t="s">
        <v>113</v>
      </c>
      <c r="C7" s="97"/>
      <c r="D7" s="97"/>
      <c r="E7" s="97"/>
      <c r="F7" s="97"/>
      <c r="G7" s="97"/>
      <c r="H7" s="97"/>
    </row>
    <row r="8" spans="2:8" s="89" customFormat="1" ht="14.4">
      <c r="B8" s="90"/>
      <c r="C8" s="90"/>
      <c r="D8" s="90"/>
      <c r="E8" s="90"/>
      <c r="F8" s="90"/>
      <c r="G8" s="90"/>
      <c r="H8" s="90"/>
    </row>
    <row r="9" spans="2:8" s="89" customFormat="1" ht="18.75" customHeight="1">
      <c r="B9" s="108" t="s">
        <v>81</v>
      </c>
      <c r="C9" s="109"/>
      <c r="D9" s="109"/>
      <c r="E9" s="109"/>
      <c r="F9" s="109"/>
      <c r="G9" s="109"/>
      <c r="H9" s="110"/>
    </row>
    <row r="10" spans="2:8" s="89" customFormat="1" ht="14.4">
      <c r="B10" s="90"/>
      <c r="C10" s="90"/>
      <c r="D10" s="90"/>
      <c r="E10" s="90"/>
      <c r="F10" s="90"/>
      <c r="G10" s="90"/>
      <c r="H10" s="90"/>
    </row>
    <row r="11" spans="2:8" s="89" customFormat="1" ht="14.4">
      <c r="B11" s="111" t="s">
        <v>82</v>
      </c>
      <c r="C11" s="112"/>
      <c r="D11" s="112"/>
      <c r="E11" s="112"/>
      <c r="F11" s="112"/>
      <c r="G11" s="112"/>
      <c r="H11" s="112"/>
    </row>
    <row r="12" spans="2:8" s="85" customFormat="1" ht="102" customHeight="1">
      <c r="B12" s="92" t="s">
        <v>83</v>
      </c>
      <c r="C12" s="93"/>
      <c r="D12" s="117" t="s">
        <v>111</v>
      </c>
      <c r="E12" s="118"/>
      <c r="F12" s="118"/>
      <c r="G12" s="118"/>
      <c r="H12" s="118"/>
    </row>
    <row r="13" spans="2:8" s="85" customFormat="1" ht="32.799999999999997" customHeight="1">
      <c r="B13" s="94" t="s">
        <v>84</v>
      </c>
      <c r="C13" s="95"/>
      <c r="D13" s="119" t="s">
        <v>85</v>
      </c>
      <c r="E13" s="120"/>
      <c r="F13" s="120"/>
      <c r="G13" s="120"/>
      <c r="H13" s="120"/>
    </row>
    <row r="14" spans="2:8" s="85" customFormat="1" ht="25.9" customHeight="1">
      <c r="B14" s="96" t="s">
        <v>86</v>
      </c>
      <c r="C14" s="95"/>
      <c r="D14" s="121" t="s">
        <v>87</v>
      </c>
      <c r="E14" s="122"/>
      <c r="F14" s="122"/>
      <c r="G14" s="122"/>
      <c r="H14" s="122"/>
    </row>
    <row r="15" spans="2:8" s="85" customFormat="1" ht="25.9" customHeight="1">
      <c r="B15" s="113" t="s">
        <v>88</v>
      </c>
      <c r="C15" s="114"/>
      <c r="D15" s="121" t="s">
        <v>89</v>
      </c>
      <c r="E15" s="122"/>
      <c r="F15" s="122"/>
      <c r="G15" s="122"/>
      <c r="H15" s="122"/>
    </row>
    <row r="16" spans="2:8" s="85" customFormat="1" ht="73.900000000000006" customHeight="1">
      <c r="B16" s="113" t="s">
        <v>91</v>
      </c>
      <c r="C16" s="114"/>
      <c r="D16" s="119" t="s">
        <v>90</v>
      </c>
      <c r="E16" s="120"/>
      <c r="F16" s="120"/>
      <c r="G16" s="120"/>
      <c r="H16" s="120"/>
    </row>
    <row r="17" spans="2:8" s="85" customFormat="1" ht="61.5" customHeight="1">
      <c r="B17" s="115" t="s">
        <v>93</v>
      </c>
      <c r="C17" s="116"/>
      <c r="D17" s="106" t="s">
        <v>92</v>
      </c>
      <c r="E17" s="107"/>
      <c r="F17" s="107"/>
      <c r="G17" s="107"/>
      <c r="H17" s="107"/>
    </row>
    <row r="18" spans="2:8" s="85" customFormat="1" ht="14.4">
      <c r="E18" s="86"/>
      <c r="F18" s="86"/>
      <c r="G18" s="86"/>
      <c r="H18" s="86"/>
    </row>
    <row r="19" spans="2:8" s="85" customFormat="1" ht="18.399999999999999" customHeight="1">
      <c r="B19" s="125" t="s">
        <v>94</v>
      </c>
      <c r="C19" s="123"/>
      <c r="D19" s="123" t="s">
        <v>95</v>
      </c>
      <c r="E19" s="123"/>
      <c r="F19" s="123"/>
      <c r="G19" s="123"/>
      <c r="H19" s="124"/>
    </row>
    <row r="20" spans="2:8" s="85" customFormat="1" ht="19.5" customHeight="1">
      <c r="B20" s="134" t="s">
        <v>96</v>
      </c>
      <c r="C20" s="135"/>
      <c r="D20" s="128" t="s">
        <v>97</v>
      </c>
      <c r="E20" s="128"/>
      <c r="F20" s="128"/>
      <c r="G20" s="128"/>
      <c r="H20" s="129"/>
    </row>
    <row r="21" spans="2:8" s="85" customFormat="1" ht="31.5" customHeight="1">
      <c r="B21" s="134" t="s">
        <v>98</v>
      </c>
      <c r="C21" s="135"/>
      <c r="D21" s="130" t="s">
        <v>99</v>
      </c>
      <c r="E21" s="130"/>
      <c r="F21" s="130"/>
      <c r="G21" s="130"/>
      <c r="H21" s="131"/>
    </row>
    <row r="22" spans="2:8" s="85" customFormat="1" ht="72.400000000000006" customHeight="1">
      <c r="B22" s="136" t="s">
        <v>100</v>
      </c>
      <c r="C22" s="137"/>
      <c r="D22" s="130" t="s">
        <v>101</v>
      </c>
      <c r="E22" s="130"/>
      <c r="F22" s="130"/>
      <c r="G22" s="130"/>
      <c r="H22" s="131"/>
    </row>
    <row r="23" spans="2:8" s="85" customFormat="1" ht="44.8" customHeight="1">
      <c r="B23" s="134" t="s">
        <v>102</v>
      </c>
      <c r="C23" s="135"/>
      <c r="D23" s="130" t="s">
        <v>103</v>
      </c>
      <c r="E23" s="130"/>
      <c r="F23" s="130"/>
      <c r="G23" s="130"/>
      <c r="H23" s="131"/>
    </row>
    <row r="24" spans="2:8" s="85" customFormat="1" ht="132" customHeight="1">
      <c r="B24" s="134" t="s">
        <v>104</v>
      </c>
      <c r="C24" s="135"/>
      <c r="D24" s="130" t="s">
        <v>105</v>
      </c>
      <c r="E24" s="130"/>
      <c r="F24" s="130"/>
      <c r="G24" s="130"/>
      <c r="H24" s="131"/>
    </row>
    <row r="25" spans="2:8" s="85" customFormat="1" ht="87" customHeight="1">
      <c r="B25" s="134" t="s">
        <v>106</v>
      </c>
      <c r="C25" s="135"/>
      <c r="D25" s="130" t="s">
        <v>107</v>
      </c>
      <c r="E25" s="130"/>
      <c r="F25" s="130"/>
      <c r="G25" s="130"/>
      <c r="H25" s="131"/>
    </row>
    <row r="26" spans="2:8" s="85" customFormat="1" ht="30.4" customHeight="1">
      <c r="B26" s="126" t="s">
        <v>108</v>
      </c>
      <c r="C26" s="127"/>
      <c r="D26" s="132" t="s">
        <v>109</v>
      </c>
      <c r="E26" s="132"/>
      <c r="F26" s="132"/>
      <c r="G26" s="132"/>
      <c r="H26" s="133"/>
    </row>
  </sheetData>
  <mergeCells count="33">
    <mergeCell ref="D19:H19"/>
    <mergeCell ref="B19:C19"/>
    <mergeCell ref="B26:C26"/>
    <mergeCell ref="D20:H20"/>
    <mergeCell ref="D21:H21"/>
    <mergeCell ref="D22:H22"/>
    <mergeCell ref="D23:H23"/>
    <mergeCell ref="D24:H24"/>
    <mergeCell ref="D25:H25"/>
    <mergeCell ref="D26:H26"/>
    <mergeCell ref="B21:C21"/>
    <mergeCell ref="B20:C20"/>
    <mergeCell ref="B22:C22"/>
    <mergeCell ref="B23:C23"/>
    <mergeCell ref="B24:C24"/>
    <mergeCell ref="B25:C25"/>
    <mergeCell ref="D17:H17"/>
    <mergeCell ref="B9:H9"/>
    <mergeCell ref="B11:H11"/>
    <mergeCell ref="B15:C15"/>
    <mergeCell ref="B16:C16"/>
    <mergeCell ref="B17:C17"/>
    <mergeCell ref="D12:H12"/>
    <mergeCell ref="D13:H13"/>
    <mergeCell ref="D14:H14"/>
    <mergeCell ref="D15:H15"/>
    <mergeCell ref="D16:H16"/>
    <mergeCell ref="B7:H7"/>
    <mergeCell ref="B1:H1"/>
    <mergeCell ref="B2:H2"/>
    <mergeCell ref="B3:H3"/>
    <mergeCell ref="B4:H4"/>
    <mergeCell ref="B5:H5"/>
  </mergeCells>
  <hyperlinks>
    <hyperlink ref="B7:H7" r:id="rId1" display="https://www.icmm.com/website/data/2026/research_mining-metals-ghg-emissions.pdf" xr:uid="{6E071023-4B14-42E9-8AB9-752A641DA302}"/>
    <hyperlink ref="B9:H9" r:id="rId2" display="Note: ICMM welcomes additional data or suggest refinements. Email us directly data@icmm.com." xr:uid="{7EE45DC7-6F3F-432F-A51E-3F117C760983}"/>
    <hyperlink ref="B3:H3" r:id="rId3" display="Contact: data@icmm.com" xr:uid="{D0344E71-E0D8-4AFD-98E8-45C2FA0AD5B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705E4-CA66-4749-B354-08A3E74B6520}">
  <sheetPr>
    <pageSetUpPr autoPageBreaks="0"/>
  </sheetPr>
  <dimension ref="A1:CH302"/>
  <sheetViews>
    <sheetView showGridLines="0" tabSelected="1" zoomScaleNormal="100" workbookViewId="0">
      <pane xSplit="1" ySplit="2" topLeftCell="B3" activePane="bottomRight" state="frozen"/>
      <selection pane="topRight" activeCell="C1" sqref="C1"/>
      <selection pane="bottomLeft" activeCell="A5" sqref="A5"/>
      <selection pane="bottomRight" activeCell="H5" sqref="H5"/>
    </sheetView>
  </sheetViews>
  <sheetFormatPr defaultColWidth="9.1328125" defaultRowHeight="14.4"/>
  <cols>
    <col min="1" max="2" width="3.6640625" style="1" customWidth="1"/>
    <col min="3" max="3" width="36.796875" style="1" customWidth="1"/>
    <col min="4" max="10" width="16.6640625" style="1" customWidth="1"/>
    <col min="11" max="11" width="3.6640625" style="1" customWidth="1"/>
    <col min="12" max="12" width="36.796875" style="1" customWidth="1"/>
    <col min="13" max="18" width="12.33203125" style="1" customWidth="1"/>
    <col min="19" max="19" width="15.33203125" style="1" customWidth="1"/>
    <col min="20" max="20" width="4" style="1" customWidth="1"/>
    <col min="21" max="21" width="67.1328125" style="1" bestFit="1" customWidth="1"/>
    <col min="22" max="28" width="15.33203125" style="1" customWidth="1"/>
    <col min="29" max="29" width="2.6640625" style="2" customWidth="1"/>
    <col min="30" max="30" width="29.33203125" style="1" customWidth="1"/>
    <col min="31" max="31" width="12.33203125" style="1" customWidth="1"/>
    <col min="32" max="37" width="17.46484375" style="1" customWidth="1"/>
    <col min="38" max="38" width="2.6640625" style="2" customWidth="1"/>
    <col min="39" max="40" width="21.796875" style="1" customWidth="1"/>
    <col min="41" max="45" width="15.33203125" style="1" customWidth="1"/>
    <col min="46" max="46" width="15.46484375" style="1" customWidth="1"/>
    <col min="47" max="47" width="4.33203125" style="1" customWidth="1"/>
    <col min="48" max="49" width="15.33203125" style="1" customWidth="1"/>
    <col min="50" max="50" width="17" style="1" bestFit="1" customWidth="1"/>
    <col min="51" max="54" width="16.6640625" style="1" bestFit="1" customWidth="1"/>
    <col min="55" max="55" width="16.6640625" style="1" customWidth="1"/>
    <col min="56" max="56" width="3" style="2" customWidth="1"/>
    <col min="57" max="57" width="33.6640625" style="1" bestFit="1" customWidth="1"/>
    <col min="58" max="62" width="12.33203125" style="1" customWidth="1"/>
    <col min="63" max="64" width="15.33203125" style="1" customWidth="1"/>
    <col min="65" max="65" width="3.46484375" style="1" customWidth="1"/>
    <col min="66" max="66" width="15.33203125" style="1" customWidth="1"/>
    <col min="67" max="67" width="22" style="1" customWidth="1"/>
    <col min="68" max="86" width="15.33203125" style="1" customWidth="1"/>
    <col min="87" max="16384" width="9.1328125" style="3"/>
  </cols>
  <sheetData>
    <row r="1" spans="1:86" ht="13.05" customHeight="1"/>
    <row r="2" spans="1:86" s="6" customFormat="1" ht="30" customHeight="1">
      <c r="A2" s="2"/>
      <c r="B2" s="2"/>
      <c r="C2" s="4" t="s">
        <v>23</v>
      </c>
      <c r="D2" s="4"/>
      <c r="E2" s="5"/>
      <c r="F2" s="5"/>
      <c r="G2" s="5"/>
      <c r="H2" s="5"/>
      <c r="I2" s="5"/>
      <c r="J2" s="5"/>
      <c r="K2" s="2"/>
      <c r="L2" s="4" t="s">
        <v>24</v>
      </c>
      <c r="M2" s="4"/>
      <c r="N2" s="5"/>
      <c r="O2" s="5"/>
      <c r="P2" s="5"/>
      <c r="Q2" s="5"/>
      <c r="R2" s="5"/>
      <c r="S2" s="5"/>
      <c r="T2" s="5"/>
      <c r="U2" s="4" t="s">
        <v>25</v>
      </c>
      <c r="V2" s="4"/>
      <c r="W2" s="5"/>
      <c r="X2" s="5"/>
      <c r="Y2" s="5"/>
      <c r="Z2" s="5"/>
      <c r="AA2" s="5"/>
      <c r="AB2" s="5"/>
      <c r="AC2" s="2"/>
      <c r="AD2" s="4" t="s">
        <v>10</v>
      </c>
      <c r="AE2" s="4"/>
      <c r="AF2" s="5"/>
      <c r="AG2" s="5"/>
      <c r="AH2" s="5"/>
      <c r="AI2" s="5"/>
      <c r="AJ2" s="5"/>
      <c r="AK2" s="5"/>
      <c r="AL2" s="2"/>
      <c r="AM2" s="4" t="s">
        <v>26</v>
      </c>
      <c r="AN2" s="4"/>
      <c r="AO2" s="5"/>
      <c r="AP2" s="5"/>
      <c r="AQ2" s="5"/>
      <c r="AR2" s="5"/>
      <c r="AS2" s="5"/>
      <c r="AT2" s="5"/>
      <c r="AU2" s="2"/>
      <c r="AV2" s="4" t="s">
        <v>27</v>
      </c>
      <c r="AW2" s="4"/>
      <c r="AX2" s="5"/>
      <c r="AY2" s="5"/>
      <c r="AZ2" s="5"/>
      <c r="BA2" s="5"/>
      <c r="BB2" s="5"/>
      <c r="BC2" s="5"/>
      <c r="BD2" s="5"/>
      <c r="BE2" s="4" t="s">
        <v>28</v>
      </c>
      <c r="BF2" s="5"/>
      <c r="BG2" s="5"/>
      <c r="BH2" s="5"/>
      <c r="BI2" s="5"/>
      <c r="BJ2" s="5"/>
      <c r="BK2" s="5"/>
      <c r="BL2" s="5"/>
      <c r="BM2" s="5"/>
      <c r="BN2" s="4" t="s">
        <v>29</v>
      </c>
      <c r="BO2" s="5"/>
      <c r="BP2" s="5"/>
      <c r="BQ2" s="5"/>
      <c r="BR2" s="5"/>
      <c r="BS2" s="5"/>
      <c r="BT2" s="5"/>
      <c r="BU2" s="5"/>
      <c r="BV2" s="5"/>
      <c r="BW2" s="5"/>
      <c r="BX2" s="5"/>
      <c r="BY2" s="5"/>
      <c r="BZ2" s="5"/>
      <c r="CA2" s="5"/>
      <c r="CB2" s="5"/>
      <c r="CC2" s="5"/>
      <c r="CD2" s="5"/>
      <c r="CE2" s="5"/>
      <c r="CF2" s="5"/>
      <c r="CG2" s="5"/>
      <c r="CH2" s="5"/>
    </row>
    <row r="3" spans="1:86" s="6" customFormat="1">
      <c r="A3" s="2"/>
      <c r="B3" s="2"/>
      <c r="C3" s="7" t="s">
        <v>58</v>
      </c>
      <c r="D3" s="8"/>
      <c r="E3" s="2"/>
      <c r="F3" s="2"/>
      <c r="G3" s="2"/>
      <c r="H3" s="2"/>
      <c r="I3" s="2"/>
      <c r="J3" s="2"/>
      <c r="K3" s="2"/>
      <c r="L3" s="8"/>
      <c r="M3" s="8"/>
      <c r="N3" s="2"/>
      <c r="O3" s="2"/>
      <c r="P3" s="2"/>
      <c r="Q3" s="2"/>
      <c r="R3" s="2"/>
      <c r="S3" s="2"/>
      <c r="T3" s="2"/>
      <c r="U3" s="8"/>
      <c r="V3" s="8"/>
      <c r="W3" s="2"/>
      <c r="X3" s="2"/>
      <c r="Y3" s="2"/>
      <c r="Z3" s="2"/>
      <c r="AA3" s="2"/>
      <c r="AB3" s="2"/>
      <c r="AC3" s="2"/>
      <c r="AD3" s="8"/>
      <c r="AE3" s="8"/>
      <c r="AF3" s="2"/>
      <c r="AG3" s="2"/>
      <c r="AH3" s="2"/>
      <c r="AI3" s="2"/>
      <c r="AJ3" s="2"/>
      <c r="AK3" s="2"/>
      <c r="AL3" s="2"/>
      <c r="AM3" s="8"/>
      <c r="AN3" s="8"/>
      <c r="AO3" s="2"/>
      <c r="AP3" s="2"/>
      <c r="AQ3" s="2"/>
      <c r="AR3" s="2"/>
      <c r="AS3" s="2"/>
      <c r="AT3" s="2"/>
      <c r="AU3" s="2"/>
      <c r="AV3" s="8"/>
      <c r="AW3" s="8"/>
      <c r="AX3" s="2"/>
      <c r="AY3" s="2"/>
      <c r="AZ3" s="2"/>
      <c r="BA3" s="2"/>
      <c r="BB3" s="2"/>
      <c r="BC3" s="2"/>
      <c r="BD3" s="2"/>
      <c r="BE3" s="8"/>
      <c r="BF3" s="2"/>
      <c r="BG3" s="2"/>
      <c r="BH3" s="2"/>
      <c r="BI3" s="2"/>
      <c r="BJ3" s="2"/>
      <c r="BK3" s="2"/>
      <c r="BL3" s="2"/>
      <c r="BM3" s="2"/>
      <c r="BN3" s="8"/>
      <c r="BO3" s="2"/>
      <c r="BP3" s="2"/>
      <c r="BQ3" s="2"/>
      <c r="BR3" s="2"/>
      <c r="BS3" s="2"/>
      <c r="BT3" s="2"/>
      <c r="BU3" s="2"/>
      <c r="BV3" s="2"/>
      <c r="BW3" s="2"/>
      <c r="BX3" s="2"/>
      <c r="BY3" s="2"/>
      <c r="BZ3" s="2"/>
      <c r="CA3" s="2"/>
      <c r="CB3" s="2"/>
      <c r="CC3" s="2"/>
      <c r="CD3" s="2"/>
      <c r="CE3" s="2"/>
      <c r="CF3" s="2"/>
      <c r="CG3" s="2"/>
      <c r="CH3" s="2"/>
    </row>
    <row r="4" spans="1:86" s="6" customFormat="1">
      <c r="A4" s="2"/>
      <c r="B4" s="2"/>
      <c r="C4" s="7" t="s">
        <v>30</v>
      </c>
      <c r="D4" s="8"/>
      <c r="E4" s="2"/>
      <c r="F4" s="2"/>
      <c r="G4" s="2"/>
      <c r="H4" s="2"/>
      <c r="I4" s="2"/>
      <c r="J4" s="2"/>
      <c r="K4" s="2"/>
      <c r="L4" s="8"/>
      <c r="M4" s="8"/>
      <c r="N4" s="2"/>
      <c r="O4" s="2"/>
      <c r="P4" s="2"/>
      <c r="Q4" s="2"/>
      <c r="R4" s="2"/>
      <c r="S4" s="2"/>
      <c r="T4" s="2"/>
      <c r="U4" s="8"/>
      <c r="V4" s="8"/>
      <c r="W4" s="2"/>
      <c r="X4" s="2"/>
      <c r="Y4" s="2"/>
      <c r="Z4" s="2"/>
      <c r="AA4" s="2"/>
      <c r="AB4" s="2"/>
      <c r="AC4" s="2"/>
      <c r="AD4" s="8"/>
      <c r="AE4" s="8"/>
      <c r="AF4" s="2"/>
      <c r="AG4" s="2"/>
      <c r="AH4" s="2"/>
      <c r="AI4" s="2"/>
      <c r="AJ4" s="2"/>
      <c r="AK4" s="2"/>
      <c r="AL4" s="2"/>
      <c r="AM4" s="8"/>
      <c r="AN4" s="8"/>
      <c r="AO4" s="2"/>
      <c r="AP4" s="2"/>
      <c r="AQ4" s="2"/>
      <c r="AR4" s="2"/>
      <c r="AS4" s="2"/>
      <c r="AT4" s="2"/>
      <c r="AU4" s="2"/>
      <c r="AV4" s="8"/>
      <c r="AW4" s="8"/>
      <c r="AX4" s="2"/>
      <c r="AY4" s="2"/>
      <c r="AZ4" s="2"/>
      <c r="BA4" s="2"/>
      <c r="BB4" s="2"/>
      <c r="BC4" s="2"/>
      <c r="BD4" s="2"/>
      <c r="BE4" s="8"/>
      <c r="BF4" s="2"/>
      <c r="BG4" s="2"/>
      <c r="BH4" s="2"/>
      <c r="BI4" s="2"/>
      <c r="BJ4" s="2"/>
      <c r="BK4" s="2"/>
      <c r="BL4" s="2"/>
      <c r="BM4" s="2"/>
      <c r="BN4" s="8"/>
      <c r="BO4" s="2"/>
      <c r="BP4" s="2"/>
      <c r="BQ4" s="2"/>
      <c r="BR4" s="2"/>
      <c r="BS4" s="2"/>
      <c r="BT4" s="2"/>
      <c r="BU4" s="2"/>
      <c r="BV4" s="2"/>
      <c r="BW4" s="2"/>
      <c r="BX4" s="2"/>
      <c r="BY4" s="2"/>
      <c r="BZ4" s="2"/>
      <c r="CA4" s="2"/>
      <c r="CB4" s="2"/>
      <c r="CC4" s="2"/>
      <c r="CD4" s="2"/>
      <c r="CE4" s="2"/>
      <c r="CF4" s="2"/>
      <c r="CG4" s="2"/>
      <c r="CH4" s="2"/>
    </row>
    <row r="5" spans="1:86" s="6" customFormat="1">
      <c r="A5" s="2"/>
      <c r="B5" s="2"/>
      <c r="C5" s="87" t="s">
        <v>78</v>
      </c>
      <c r="D5" s="8"/>
      <c r="E5" s="2"/>
      <c r="F5" s="2"/>
      <c r="G5" s="2"/>
      <c r="H5" s="2"/>
      <c r="I5" s="2"/>
      <c r="J5" s="2"/>
      <c r="K5" s="2"/>
      <c r="L5" s="8"/>
      <c r="M5" s="8"/>
      <c r="N5" s="2"/>
      <c r="O5" s="2"/>
      <c r="P5" s="2"/>
      <c r="Q5" s="2"/>
      <c r="R5" s="2"/>
      <c r="S5" s="2"/>
      <c r="T5" s="2"/>
      <c r="U5" s="8"/>
      <c r="V5" s="8"/>
      <c r="W5" s="2"/>
      <c r="X5" s="2"/>
      <c r="Y5" s="2"/>
      <c r="Z5" s="2"/>
      <c r="AA5" s="2"/>
      <c r="AB5" s="2"/>
      <c r="AC5" s="2"/>
      <c r="AD5" s="8"/>
      <c r="AE5" s="8"/>
      <c r="AF5" s="2"/>
      <c r="AG5" s="2"/>
      <c r="AH5" s="2"/>
      <c r="AI5" s="2"/>
      <c r="AJ5" s="2"/>
      <c r="AK5" s="2"/>
      <c r="AL5" s="2"/>
      <c r="AM5" s="8"/>
      <c r="AN5" s="8"/>
      <c r="AO5" s="2"/>
      <c r="AP5" s="2"/>
      <c r="AQ5" s="2"/>
      <c r="AR5" s="2"/>
      <c r="AS5" s="2"/>
      <c r="AT5" s="2"/>
      <c r="AU5" s="2"/>
      <c r="AV5" s="8"/>
      <c r="AW5" s="8"/>
      <c r="AX5" s="2"/>
      <c r="AY5" s="2"/>
      <c r="AZ5" s="2"/>
      <c r="BA5" s="2"/>
      <c r="BB5" s="2"/>
      <c r="BC5" s="2"/>
      <c r="BD5" s="2"/>
      <c r="BE5" s="8"/>
      <c r="BF5" s="2"/>
      <c r="BG5" s="2"/>
      <c r="BH5" s="2"/>
      <c r="BI5" s="2"/>
      <c r="BJ5" s="2"/>
      <c r="BK5" s="2"/>
      <c r="BL5" s="2"/>
      <c r="BM5" s="2"/>
      <c r="BN5" s="8"/>
      <c r="BO5" s="2"/>
      <c r="BP5" s="2"/>
      <c r="BQ5" s="2"/>
      <c r="BR5" s="2"/>
      <c r="BS5" s="2"/>
      <c r="BT5" s="2"/>
      <c r="BU5" s="2"/>
      <c r="BV5" s="2"/>
      <c r="BW5" s="2"/>
      <c r="BX5" s="2"/>
      <c r="BY5" s="2"/>
      <c r="BZ5" s="2"/>
      <c r="CA5" s="2"/>
      <c r="CB5" s="2"/>
      <c r="CC5" s="2"/>
      <c r="CD5" s="2"/>
      <c r="CE5" s="2"/>
      <c r="CF5" s="2"/>
      <c r="CG5" s="2"/>
      <c r="CH5" s="2"/>
    </row>
    <row r="7" spans="1:86">
      <c r="C7" s="9" t="s">
        <v>1</v>
      </c>
      <c r="D7" s="9"/>
      <c r="E7" s="9"/>
      <c r="F7" s="9"/>
      <c r="G7" s="9"/>
      <c r="H7" s="9"/>
      <c r="I7" s="9"/>
      <c r="J7" s="9"/>
      <c r="L7" s="9" t="s">
        <v>1</v>
      </c>
      <c r="M7" s="9"/>
      <c r="N7" s="9"/>
      <c r="O7" s="9"/>
      <c r="P7" s="9"/>
      <c r="Q7" s="9"/>
      <c r="R7" s="9"/>
      <c r="S7" s="9"/>
      <c r="U7" s="9" t="s">
        <v>1</v>
      </c>
      <c r="V7" s="9"/>
      <c r="W7" s="9"/>
      <c r="X7" s="9"/>
      <c r="Y7" s="9"/>
      <c r="Z7" s="9"/>
      <c r="AA7" s="9"/>
      <c r="AB7" s="9"/>
      <c r="AC7" s="8"/>
      <c r="AD7" s="10"/>
      <c r="AE7" s="10"/>
      <c r="AF7" s="10"/>
      <c r="AG7" s="10"/>
      <c r="AH7" s="10"/>
      <c r="AI7" s="10"/>
      <c r="AJ7" s="10"/>
      <c r="AK7" s="10"/>
      <c r="AL7" s="8"/>
      <c r="AM7" s="10"/>
      <c r="AN7" s="10"/>
      <c r="AO7" s="10"/>
      <c r="AP7" s="10"/>
      <c r="AQ7" s="10"/>
      <c r="AR7" s="10"/>
      <c r="AS7" s="10"/>
    </row>
    <row r="8" spans="1:86" s="15" customFormat="1">
      <c r="A8" s="11"/>
      <c r="B8" s="11"/>
      <c r="C8" s="60"/>
      <c r="D8" s="60" t="s">
        <v>11</v>
      </c>
      <c r="E8" s="61">
        <v>2020</v>
      </c>
      <c r="F8" s="61">
        <v>2021</v>
      </c>
      <c r="G8" s="61">
        <v>2022</v>
      </c>
      <c r="H8" s="61">
        <v>2023</v>
      </c>
      <c r="I8" s="61">
        <v>2024</v>
      </c>
      <c r="J8" s="61">
        <v>2025</v>
      </c>
      <c r="K8" s="11"/>
      <c r="L8" s="60"/>
      <c r="M8" s="60" t="s">
        <v>11</v>
      </c>
      <c r="N8" s="61">
        <v>2020</v>
      </c>
      <c r="O8" s="61">
        <v>2021</v>
      </c>
      <c r="P8" s="61">
        <v>2022</v>
      </c>
      <c r="Q8" s="61">
        <v>2023</v>
      </c>
      <c r="R8" s="61">
        <v>2024</v>
      </c>
      <c r="S8" s="61">
        <v>2025</v>
      </c>
      <c r="T8" s="11"/>
      <c r="U8" s="60"/>
      <c r="V8" s="60" t="s">
        <v>11</v>
      </c>
      <c r="W8" s="61">
        <v>2020</v>
      </c>
      <c r="X8" s="61">
        <v>2021</v>
      </c>
      <c r="Y8" s="61">
        <v>2022</v>
      </c>
      <c r="Z8" s="61">
        <v>2023</v>
      </c>
      <c r="AA8" s="61">
        <v>2024</v>
      </c>
      <c r="AB8" s="61">
        <v>2025</v>
      </c>
      <c r="AC8" s="12"/>
      <c r="AD8" s="11"/>
      <c r="AE8" s="11"/>
      <c r="AF8" s="13"/>
      <c r="AG8" s="13"/>
      <c r="AH8" s="13"/>
      <c r="AI8" s="13"/>
      <c r="AJ8" s="13"/>
      <c r="AK8" s="13"/>
      <c r="AL8" s="12"/>
      <c r="AM8" s="13"/>
      <c r="AN8" s="13"/>
      <c r="AO8" s="13"/>
      <c r="AP8" s="13"/>
      <c r="AQ8" s="13"/>
      <c r="AR8" s="13"/>
      <c r="AS8" s="13"/>
      <c r="AT8" s="11"/>
      <c r="AU8" s="11"/>
      <c r="AV8" s="11"/>
      <c r="AW8" s="11"/>
      <c r="AX8" s="11"/>
      <c r="AY8" s="11"/>
      <c r="AZ8" s="11"/>
      <c r="BA8" s="11"/>
      <c r="BB8" s="11"/>
      <c r="BC8" s="11"/>
      <c r="BD8" s="14"/>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row>
    <row r="9" spans="1:86">
      <c r="A9" s="11"/>
      <c r="B9" s="11"/>
      <c r="C9" s="79" t="s">
        <v>31</v>
      </c>
      <c r="D9" s="80" t="s">
        <v>32</v>
      </c>
      <c r="E9" s="81">
        <v>1.4330474190743792</v>
      </c>
      <c r="F9" s="81">
        <v>1.44130899571395</v>
      </c>
      <c r="G9" s="81">
        <v>1.4489538086505358</v>
      </c>
      <c r="H9" s="81">
        <v>1.4220858108178245</v>
      </c>
      <c r="I9" s="81">
        <v>1.4232803910327518</v>
      </c>
      <c r="J9" s="81">
        <v>1.4277997543100098</v>
      </c>
      <c r="K9" s="11"/>
      <c r="L9" s="16" t="s">
        <v>31</v>
      </c>
      <c r="M9" s="17" t="s">
        <v>32</v>
      </c>
      <c r="N9" s="18">
        <v>0</v>
      </c>
      <c r="O9" s="18">
        <v>0</v>
      </c>
      <c r="P9" s="18">
        <v>0</v>
      </c>
      <c r="Q9" s="18">
        <v>0</v>
      </c>
      <c r="R9" s="18">
        <v>0</v>
      </c>
      <c r="S9" s="18">
        <v>0</v>
      </c>
      <c r="T9" s="11"/>
      <c r="U9" s="16" t="s">
        <v>31</v>
      </c>
      <c r="V9" s="17" t="s">
        <v>32</v>
      </c>
      <c r="W9" s="18">
        <f>E9+N9</f>
        <v>1.4330474190743792</v>
      </c>
      <c r="X9" s="18">
        <f t="shared" ref="X9:AB16" si="0">F9+O9</f>
        <v>1.44130899571395</v>
      </c>
      <c r="Y9" s="18">
        <f t="shared" si="0"/>
        <v>1.4489538086505358</v>
      </c>
      <c r="Z9" s="18">
        <f t="shared" si="0"/>
        <v>1.4220858108178245</v>
      </c>
      <c r="AA9" s="18">
        <f t="shared" si="0"/>
        <v>1.4232803910327518</v>
      </c>
      <c r="AB9" s="18">
        <f t="shared" si="0"/>
        <v>1.4277997543100098</v>
      </c>
      <c r="AC9" s="19"/>
      <c r="AD9" s="20"/>
      <c r="AE9" s="15"/>
      <c r="AF9" s="21"/>
      <c r="AG9" s="21"/>
      <c r="AH9" s="21"/>
      <c r="AI9" s="21"/>
      <c r="AJ9" s="21"/>
      <c r="AK9" s="21"/>
      <c r="AL9" s="19"/>
      <c r="AM9" s="21"/>
      <c r="AN9" s="21"/>
      <c r="AO9" s="21"/>
      <c r="AP9" s="21"/>
      <c r="AQ9" s="21"/>
      <c r="AR9" s="21"/>
      <c r="AS9" s="21"/>
      <c r="AT9" s="11"/>
      <c r="AU9" s="11"/>
      <c r="AV9" s="11"/>
      <c r="AW9" s="11"/>
      <c r="AX9" s="11"/>
      <c r="AY9" s="11"/>
      <c r="AZ9" s="11"/>
      <c r="BA9" s="11"/>
      <c r="BB9" s="11"/>
      <c r="BC9" s="11"/>
      <c r="BD9" s="14"/>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row>
    <row r="10" spans="1:86">
      <c r="C10" s="16" t="s">
        <v>33</v>
      </c>
      <c r="D10" s="17" t="s">
        <v>32</v>
      </c>
      <c r="E10" s="18">
        <v>89.26095395405919</v>
      </c>
      <c r="F10" s="18">
        <v>97.392384770754248</v>
      </c>
      <c r="G10" s="18">
        <v>88.702273687744594</v>
      </c>
      <c r="H10" s="18">
        <v>92.583484715913258</v>
      </c>
      <c r="I10" s="18">
        <v>103.80457156052573</v>
      </c>
      <c r="J10" s="18">
        <v>104.69744971035612</v>
      </c>
      <c r="L10" s="16" t="s">
        <v>33</v>
      </c>
      <c r="M10" s="17" t="s">
        <v>32</v>
      </c>
      <c r="N10" s="18">
        <v>0</v>
      </c>
      <c r="O10" s="18">
        <v>0</v>
      </c>
      <c r="P10" s="18">
        <v>0</v>
      </c>
      <c r="Q10" s="18">
        <v>0</v>
      </c>
      <c r="R10" s="18">
        <v>0</v>
      </c>
      <c r="S10" s="18">
        <v>0</v>
      </c>
      <c r="U10" s="16" t="s">
        <v>33</v>
      </c>
      <c r="V10" s="17" t="s">
        <v>32</v>
      </c>
      <c r="W10" s="18">
        <f t="shared" ref="W10:W16" si="1">E10+N10</f>
        <v>89.26095395405919</v>
      </c>
      <c r="X10" s="18">
        <f t="shared" si="0"/>
        <v>97.392384770754248</v>
      </c>
      <c r="Y10" s="18">
        <f t="shared" si="0"/>
        <v>88.702273687744594</v>
      </c>
      <c r="Z10" s="18">
        <f t="shared" si="0"/>
        <v>92.583484715913258</v>
      </c>
      <c r="AA10" s="18">
        <f t="shared" si="0"/>
        <v>103.80457156052573</v>
      </c>
      <c r="AB10" s="18">
        <f t="shared" si="0"/>
        <v>104.69744971035612</v>
      </c>
      <c r="AC10" s="19"/>
      <c r="AD10" s="20"/>
      <c r="AE10" s="15"/>
      <c r="AF10" s="21"/>
      <c r="AG10" s="21"/>
      <c r="AH10" s="21"/>
      <c r="AI10" s="21"/>
      <c r="AJ10" s="21"/>
      <c r="AK10" s="21"/>
      <c r="AL10" s="19"/>
      <c r="AM10" s="21"/>
      <c r="AN10" s="21"/>
      <c r="AO10" s="21"/>
      <c r="AP10" s="21"/>
      <c r="AQ10" s="21"/>
      <c r="AR10" s="21"/>
      <c r="AS10" s="21"/>
    </row>
    <row r="11" spans="1:86">
      <c r="C11" s="16" t="s">
        <v>34</v>
      </c>
      <c r="D11" s="17" t="s">
        <v>32</v>
      </c>
      <c r="E11" s="18">
        <v>577.34760307839804</v>
      </c>
      <c r="F11" s="18">
        <v>584.97136447687626</v>
      </c>
      <c r="G11" s="18">
        <v>554.97340443541611</v>
      </c>
      <c r="H11" s="18">
        <v>584.84627096635813</v>
      </c>
      <c r="I11" s="18">
        <v>592.21802568689077</v>
      </c>
      <c r="J11" s="18">
        <v>591.54337799794212</v>
      </c>
      <c r="L11" s="16" t="s">
        <v>34</v>
      </c>
      <c r="M11" s="17" t="s">
        <v>32</v>
      </c>
      <c r="N11" s="18">
        <v>0</v>
      </c>
      <c r="O11" s="18">
        <v>0</v>
      </c>
      <c r="P11" s="18">
        <v>0</v>
      </c>
      <c r="Q11" s="18">
        <v>0</v>
      </c>
      <c r="R11" s="18">
        <v>0</v>
      </c>
      <c r="S11" s="18">
        <v>0</v>
      </c>
      <c r="U11" s="16" t="s">
        <v>34</v>
      </c>
      <c r="V11" s="17" t="s">
        <v>32</v>
      </c>
      <c r="W11" s="18">
        <f t="shared" si="1"/>
        <v>577.34760307839804</v>
      </c>
      <c r="X11" s="18">
        <f t="shared" si="0"/>
        <v>584.97136447687626</v>
      </c>
      <c r="Y11" s="18">
        <f t="shared" si="0"/>
        <v>554.97340443541611</v>
      </c>
      <c r="Z11" s="18">
        <f t="shared" si="0"/>
        <v>584.84627096635813</v>
      </c>
      <c r="AA11" s="18">
        <f t="shared" si="0"/>
        <v>592.21802568689077</v>
      </c>
      <c r="AB11" s="18">
        <f t="shared" si="0"/>
        <v>591.54337799794212</v>
      </c>
      <c r="AC11" s="19"/>
      <c r="AD11" s="20"/>
      <c r="AE11" s="15"/>
      <c r="AF11" s="21"/>
      <c r="AG11" s="21"/>
      <c r="AH11" s="21"/>
      <c r="AI11" s="21"/>
      <c r="AJ11" s="21"/>
      <c r="AK11" s="21"/>
      <c r="AL11" s="19"/>
      <c r="AM11" s="21"/>
      <c r="AN11" s="21"/>
      <c r="AO11" s="21"/>
      <c r="AP11" s="21"/>
      <c r="AQ11" s="21"/>
      <c r="AR11" s="21"/>
      <c r="AS11" s="21"/>
    </row>
    <row r="12" spans="1:86">
      <c r="C12" s="16" t="s">
        <v>35</v>
      </c>
      <c r="D12" s="17" t="s">
        <v>32</v>
      </c>
      <c r="E12" s="18">
        <v>1378.2742880594669</v>
      </c>
      <c r="F12" s="18">
        <v>1394.2327205954005</v>
      </c>
      <c r="G12" s="18">
        <v>1474.9086231443946</v>
      </c>
      <c r="H12" s="18">
        <v>1424.9732668593635</v>
      </c>
      <c r="I12" s="18">
        <v>1283.0169140023668</v>
      </c>
      <c r="J12" s="18">
        <v>1346.651630898456</v>
      </c>
      <c r="L12" s="16" t="s">
        <v>35</v>
      </c>
      <c r="M12" s="17" t="s">
        <v>32</v>
      </c>
      <c r="N12" s="18">
        <v>0</v>
      </c>
      <c r="O12" s="18">
        <v>0</v>
      </c>
      <c r="P12" s="18">
        <v>0</v>
      </c>
      <c r="Q12" s="18">
        <v>0</v>
      </c>
      <c r="R12" s="18">
        <v>0</v>
      </c>
      <c r="S12" s="18">
        <v>0</v>
      </c>
      <c r="U12" s="16" t="s">
        <v>35</v>
      </c>
      <c r="V12" s="17" t="s">
        <v>32</v>
      </c>
      <c r="W12" s="18">
        <f t="shared" si="1"/>
        <v>1378.2742880594669</v>
      </c>
      <c r="X12" s="18">
        <f t="shared" si="0"/>
        <v>1394.2327205954005</v>
      </c>
      <c r="Y12" s="18">
        <f t="shared" si="0"/>
        <v>1474.9086231443946</v>
      </c>
      <c r="Z12" s="18">
        <f t="shared" si="0"/>
        <v>1424.9732668593635</v>
      </c>
      <c r="AA12" s="18">
        <f t="shared" si="0"/>
        <v>1283.0169140023668</v>
      </c>
      <c r="AB12" s="18">
        <f t="shared" si="0"/>
        <v>1346.651630898456</v>
      </c>
      <c r="AC12" s="19"/>
      <c r="AD12" s="20"/>
      <c r="AE12" s="15"/>
      <c r="AF12" s="21"/>
      <c r="AG12" s="21"/>
      <c r="AH12" s="21"/>
      <c r="AI12" s="21"/>
      <c r="AJ12" s="21"/>
      <c r="AK12" s="21"/>
      <c r="AL12" s="19"/>
      <c r="AM12" s="21"/>
      <c r="AN12" s="21"/>
      <c r="AO12" s="21"/>
      <c r="AP12" s="21"/>
      <c r="AQ12" s="21"/>
      <c r="AR12" s="21"/>
      <c r="AS12" s="21"/>
    </row>
    <row r="13" spans="1:86">
      <c r="C13" s="16" t="s">
        <v>36</v>
      </c>
      <c r="D13" s="17" t="s">
        <v>32</v>
      </c>
      <c r="E13" s="18">
        <v>1491.9413170309031</v>
      </c>
      <c r="F13" s="18">
        <v>1513.3476276720287</v>
      </c>
      <c r="G13" s="18">
        <v>1578.6451529940971</v>
      </c>
      <c r="H13" s="18">
        <v>1743.3585973417676</v>
      </c>
      <c r="I13" s="18">
        <v>2276.1473597994936</v>
      </c>
      <c r="J13" s="18">
        <v>2235.2042444196218</v>
      </c>
      <c r="L13" s="16" t="s">
        <v>36</v>
      </c>
      <c r="M13" s="17" t="s">
        <v>32</v>
      </c>
      <c r="N13" s="18">
        <v>0</v>
      </c>
      <c r="O13" s="18">
        <v>0</v>
      </c>
      <c r="P13" s="18">
        <v>0</v>
      </c>
      <c r="Q13" s="18">
        <v>0</v>
      </c>
      <c r="R13" s="18">
        <v>0</v>
      </c>
      <c r="S13" s="18">
        <v>0</v>
      </c>
      <c r="U13" s="16" t="s">
        <v>36</v>
      </c>
      <c r="V13" s="17" t="s">
        <v>32</v>
      </c>
      <c r="W13" s="18">
        <f t="shared" si="1"/>
        <v>1491.9413170309031</v>
      </c>
      <c r="X13" s="18">
        <f t="shared" si="0"/>
        <v>1513.3476276720287</v>
      </c>
      <c r="Y13" s="18">
        <f t="shared" si="0"/>
        <v>1578.6451529940971</v>
      </c>
      <c r="Z13" s="18">
        <f t="shared" si="0"/>
        <v>1743.3585973417676</v>
      </c>
      <c r="AA13" s="18">
        <f t="shared" si="0"/>
        <v>2276.1473597994936</v>
      </c>
      <c r="AB13" s="18">
        <f t="shared" si="0"/>
        <v>2235.2042444196218</v>
      </c>
      <c r="AC13" s="19"/>
      <c r="AD13" s="20"/>
      <c r="AE13" s="15"/>
      <c r="AF13" s="21"/>
      <c r="AG13" s="21"/>
      <c r="AH13" s="21"/>
      <c r="AI13" s="21"/>
      <c r="AJ13" s="21"/>
      <c r="AK13" s="21"/>
      <c r="AL13" s="19"/>
      <c r="AM13" s="21"/>
      <c r="AN13" s="21"/>
      <c r="AO13" s="21"/>
      <c r="AP13" s="21"/>
      <c r="AQ13" s="21"/>
      <c r="AR13" s="21"/>
      <c r="AS13" s="21"/>
    </row>
    <row r="14" spans="1:86">
      <c r="C14" s="16" t="s">
        <v>37</v>
      </c>
      <c r="D14" s="17" t="s">
        <v>32</v>
      </c>
      <c r="E14" s="18">
        <v>116.84373586278453</v>
      </c>
      <c r="F14" s="18">
        <v>127.69485442272402</v>
      </c>
      <c r="G14" s="18">
        <v>136.46364081817828</v>
      </c>
      <c r="H14" s="18">
        <v>133.61551442091468</v>
      </c>
      <c r="I14" s="18">
        <v>138.28089894769312</v>
      </c>
      <c r="J14" s="18">
        <v>139.44055071778314</v>
      </c>
      <c r="L14" s="16" t="s">
        <v>37</v>
      </c>
      <c r="M14" s="17" t="s">
        <v>32</v>
      </c>
      <c r="N14" s="18">
        <v>0</v>
      </c>
      <c r="O14" s="18">
        <v>0</v>
      </c>
      <c r="P14" s="18">
        <v>0</v>
      </c>
      <c r="Q14" s="18">
        <v>0</v>
      </c>
      <c r="R14" s="18">
        <v>0</v>
      </c>
      <c r="S14" s="18">
        <v>0</v>
      </c>
      <c r="U14" s="16" t="s">
        <v>37</v>
      </c>
      <c r="V14" s="17" t="s">
        <v>32</v>
      </c>
      <c r="W14" s="18">
        <f t="shared" si="1"/>
        <v>116.84373586278453</v>
      </c>
      <c r="X14" s="18">
        <f t="shared" si="0"/>
        <v>127.69485442272402</v>
      </c>
      <c r="Y14" s="18">
        <f t="shared" si="0"/>
        <v>136.46364081817828</v>
      </c>
      <c r="Z14" s="18">
        <f t="shared" si="0"/>
        <v>133.61551442091468</v>
      </c>
      <c r="AA14" s="18">
        <f t="shared" si="0"/>
        <v>138.28089894769312</v>
      </c>
      <c r="AB14" s="18">
        <f t="shared" si="0"/>
        <v>139.44055071778314</v>
      </c>
      <c r="AC14" s="19"/>
      <c r="AD14" s="20"/>
      <c r="AE14" s="15"/>
      <c r="AF14" s="21"/>
      <c r="AG14" s="21"/>
      <c r="AH14" s="21"/>
      <c r="AI14" s="21"/>
      <c r="AJ14" s="21"/>
      <c r="AK14" s="21"/>
      <c r="AL14" s="19"/>
      <c r="AM14" s="21"/>
      <c r="AN14" s="21"/>
      <c r="AO14" s="21"/>
      <c r="AP14" s="21"/>
      <c r="AQ14" s="21"/>
      <c r="AR14" s="21"/>
      <c r="AS14" s="21"/>
    </row>
    <row r="15" spans="1:86">
      <c r="C15" s="16" t="s">
        <v>38</v>
      </c>
      <c r="D15" s="17" t="s">
        <v>32</v>
      </c>
      <c r="E15" s="18">
        <v>643.90170994586288</v>
      </c>
      <c r="F15" s="18">
        <v>623.33086623799534</v>
      </c>
      <c r="G15" s="18">
        <v>628.32839014390731</v>
      </c>
      <c r="H15" s="18">
        <v>638.2761312895791</v>
      </c>
      <c r="I15" s="18">
        <v>634.17721159985501</v>
      </c>
      <c r="J15" s="18">
        <v>601.97416169166377</v>
      </c>
      <c r="L15" s="16" t="s">
        <v>38</v>
      </c>
      <c r="M15" s="17" t="s">
        <v>32</v>
      </c>
      <c r="N15" s="18">
        <v>0</v>
      </c>
      <c r="O15" s="18">
        <v>0</v>
      </c>
      <c r="P15" s="18">
        <v>0</v>
      </c>
      <c r="Q15" s="18">
        <v>0</v>
      </c>
      <c r="R15" s="18">
        <v>0</v>
      </c>
      <c r="S15" s="18">
        <v>0</v>
      </c>
      <c r="U15" s="16" t="s">
        <v>38</v>
      </c>
      <c r="V15" s="17" t="s">
        <v>32</v>
      </c>
      <c r="W15" s="18">
        <f t="shared" si="1"/>
        <v>643.90170994586288</v>
      </c>
      <c r="X15" s="18">
        <f t="shared" si="0"/>
        <v>623.33086623799534</v>
      </c>
      <c r="Y15" s="18">
        <f t="shared" si="0"/>
        <v>628.32839014390731</v>
      </c>
      <c r="Z15" s="18">
        <f t="shared" si="0"/>
        <v>638.2761312895791</v>
      </c>
      <c r="AA15" s="18">
        <f t="shared" si="0"/>
        <v>634.17721159985501</v>
      </c>
      <c r="AB15" s="18">
        <f t="shared" si="0"/>
        <v>601.97416169166377</v>
      </c>
      <c r="AC15" s="19"/>
      <c r="AD15" s="20"/>
      <c r="AE15" s="15"/>
      <c r="AF15" s="21"/>
      <c r="AG15" s="21"/>
      <c r="AH15" s="21"/>
      <c r="AI15" s="21"/>
      <c r="AJ15" s="21"/>
      <c r="AK15" s="21"/>
      <c r="AL15" s="19"/>
      <c r="AM15" s="21"/>
      <c r="AN15" s="21"/>
      <c r="AO15" s="21"/>
      <c r="AP15" s="21"/>
      <c r="AQ15" s="21"/>
      <c r="AR15" s="21"/>
      <c r="AS15" s="21"/>
    </row>
    <row r="16" spans="1:86">
      <c r="C16" s="16" t="s">
        <v>39</v>
      </c>
      <c r="D16" s="17" t="s">
        <v>32</v>
      </c>
      <c r="E16" s="18">
        <v>74.584724821134927</v>
      </c>
      <c r="F16" s="18">
        <v>81.124051645390225</v>
      </c>
      <c r="G16" s="18">
        <v>80.726984509035475</v>
      </c>
      <c r="H16" s="18">
        <v>79.999798882721848</v>
      </c>
      <c r="I16" s="18">
        <v>80.397306470697615</v>
      </c>
      <c r="J16" s="18">
        <v>81.12074825823251</v>
      </c>
      <c r="L16" s="16" t="s">
        <v>39</v>
      </c>
      <c r="M16" s="17" t="s">
        <v>32</v>
      </c>
      <c r="N16" s="18">
        <v>0</v>
      </c>
      <c r="O16" s="18">
        <v>0</v>
      </c>
      <c r="P16" s="18">
        <v>0</v>
      </c>
      <c r="Q16" s="18">
        <v>0</v>
      </c>
      <c r="R16" s="18">
        <v>0</v>
      </c>
      <c r="S16" s="18">
        <v>0</v>
      </c>
      <c r="U16" s="16" t="s">
        <v>39</v>
      </c>
      <c r="V16" s="17" t="s">
        <v>32</v>
      </c>
      <c r="W16" s="18">
        <f t="shared" si="1"/>
        <v>74.584724821134927</v>
      </c>
      <c r="X16" s="18">
        <f t="shared" si="0"/>
        <v>81.124051645390225</v>
      </c>
      <c r="Y16" s="18">
        <f t="shared" si="0"/>
        <v>80.726984509035475</v>
      </c>
      <c r="Z16" s="18">
        <f t="shared" si="0"/>
        <v>79.999798882721848</v>
      </c>
      <c r="AA16" s="18">
        <f t="shared" si="0"/>
        <v>80.397306470697615</v>
      </c>
      <c r="AB16" s="18">
        <f t="shared" si="0"/>
        <v>81.12074825823251</v>
      </c>
      <c r="AC16" s="19"/>
      <c r="AD16" s="20"/>
      <c r="AE16" s="15"/>
      <c r="AF16" s="21"/>
      <c r="AG16" s="21"/>
      <c r="AH16" s="21"/>
      <c r="AI16" s="21"/>
      <c r="AJ16" s="21"/>
      <c r="AK16" s="21"/>
      <c r="AL16" s="19"/>
      <c r="AM16" s="21"/>
      <c r="AN16" s="21"/>
      <c r="AO16" s="21"/>
      <c r="AP16" s="21"/>
      <c r="AQ16" s="21"/>
      <c r="AR16" s="21"/>
      <c r="AS16" s="21"/>
    </row>
    <row r="17" spans="1:86">
      <c r="A17" s="22"/>
      <c r="C17" s="23" t="s">
        <v>40</v>
      </c>
      <c r="D17" s="17" t="s">
        <v>32</v>
      </c>
      <c r="E17" s="24">
        <v>4373.5873801716834</v>
      </c>
      <c r="F17" s="24">
        <v>4423.5351788168828</v>
      </c>
      <c r="G17" s="24">
        <v>4544.1974235414245</v>
      </c>
      <c r="H17" s="24">
        <v>4699.0751502874355</v>
      </c>
      <c r="I17" s="24">
        <v>5109.4655684585559</v>
      </c>
      <c r="J17" s="24">
        <v>5102.0599634483651</v>
      </c>
      <c r="L17" s="23" t="s">
        <v>40</v>
      </c>
      <c r="M17" s="17" t="s">
        <v>32</v>
      </c>
      <c r="N17" s="24">
        <v>0</v>
      </c>
      <c r="O17" s="24">
        <v>0</v>
      </c>
      <c r="P17" s="24">
        <v>0</v>
      </c>
      <c r="Q17" s="24">
        <v>0</v>
      </c>
      <c r="R17" s="24">
        <v>0</v>
      </c>
      <c r="S17" s="24">
        <v>0</v>
      </c>
      <c r="U17" s="23" t="s">
        <v>40</v>
      </c>
      <c r="V17" s="17" t="s">
        <v>32</v>
      </c>
      <c r="W17" s="24">
        <f>SUM(W9:W16)</f>
        <v>4373.5873801716834</v>
      </c>
      <c r="X17" s="24">
        <f t="shared" ref="X17:AB17" si="2">SUM(X9:X16)</f>
        <v>4423.5351788168828</v>
      </c>
      <c r="Y17" s="24">
        <f t="shared" si="2"/>
        <v>4544.1974235414245</v>
      </c>
      <c r="Z17" s="24">
        <f t="shared" si="2"/>
        <v>4699.0751502874355</v>
      </c>
      <c r="AA17" s="24">
        <f t="shared" si="2"/>
        <v>5109.4655684585559</v>
      </c>
      <c r="AB17" s="24">
        <f t="shared" si="2"/>
        <v>5102.0599634483651</v>
      </c>
      <c r="AC17" s="25"/>
      <c r="AD17" s="26"/>
      <c r="AE17" s="15"/>
      <c r="AF17" s="27"/>
      <c r="AG17" s="27"/>
      <c r="AH17" s="27"/>
      <c r="AI17" s="27"/>
      <c r="AJ17" s="27"/>
      <c r="AK17" s="27"/>
      <c r="AL17" s="25"/>
      <c r="AM17" s="27"/>
      <c r="AN17" s="27"/>
      <c r="AO17" s="27"/>
      <c r="AP17" s="27"/>
      <c r="AQ17" s="27"/>
      <c r="AR17" s="27"/>
      <c r="AS17" s="27"/>
    </row>
    <row r="20" spans="1:86">
      <c r="C20" s="9" t="s">
        <v>12</v>
      </c>
      <c r="D20" s="9"/>
      <c r="E20" s="9"/>
      <c r="F20" s="9"/>
      <c r="G20" s="9"/>
      <c r="H20" s="9"/>
      <c r="I20" s="9"/>
      <c r="J20" s="9"/>
      <c r="L20" s="9" t="s">
        <v>12</v>
      </c>
      <c r="M20" s="9"/>
      <c r="N20" s="9"/>
      <c r="O20" s="9"/>
      <c r="P20" s="9"/>
      <c r="Q20" s="9"/>
      <c r="R20" s="9"/>
      <c r="S20" s="9"/>
      <c r="U20" s="9" t="s">
        <v>12</v>
      </c>
      <c r="V20" s="9"/>
      <c r="W20" s="9"/>
      <c r="X20" s="9"/>
      <c r="Y20" s="9"/>
      <c r="Z20" s="9"/>
      <c r="AA20" s="9"/>
      <c r="AB20" s="9"/>
      <c r="AC20" s="8"/>
      <c r="AD20" s="10"/>
      <c r="AE20" s="10"/>
      <c r="AF20" s="10"/>
      <c r="AG20" s="10"/>
      <c r="AH20" s="10"/>
      <c r="AI20" s="10"/>
      <c r="AJ20" s="10"/>
      <c r="AK20" s="10"/>
      <c r="AL20" s="8"/>
      <c r="AM20" s="10"/>
      <c r="AN20" s="10"/>
      <c r="AO20" s="10"/>
      <c r="AP20" s="10"/>
      <c r="AQ20" s="10"/>
      <c r="AR20" s="10"/>
      <c r="AS20" s="10"/>
    </row>
    <row r="21" spans="1:86" s="15" customFormat="1">
      <c r="A21" s="11"/>
      <c r="B21" s="11"/>
      <c r="C21" s="60"/>
      <c r="D21" s="60" t="s">
        <v>11</v>
      </c>
      <c r="E21" s="61">
        <v>2020</v>
      </c>
      <c r="F21" s="61">
        <v>2021</v>
      </c>
      <c r="G21" s="61">
        <v>2022</v>
      </c>
      <c r="H21" s="61">
        <v>2023</v>
      </c>
      <c r="I21" s="61">
        <v>2024</v>
      </c>
      <c r="J21" s="61">
        <v>2025</v>
      </c>
      <c r="K21" s="11"/>
      <c r="L21" s="60"/>
      <c r="M21" s="60" t="s">
        <v>11</v>
      </c>
      <c r="N21" s="61">
        <v>2020</v>
      </c>
      <c r="O21" s="61">
        <v>2021</v>
      </c>
      <c r="P21" s="61">
        <v>2022</v>
      </c>
      <c r="Q21" s="61">
        <v>2023</v>
      </c>
      <c r="R21" s="61">
        <v>2024</v>
      </c>
      <c r="S21" s="61">
        <v>2025</v>
      </c>
      <c r="T21" s="11"/>
      <c r="U21" s="60"/>
      <c r="V21" s="60" t="s">
        <v>11</v>
      </c>
      <c r="W21" s="61">
        <v>2020</v>
      </c>
      <c r="X21" s="61">
        <v>2021</v>
      </c>
      <c r="Y21" s="61">
        <v>2022</v>
      </c>
      <c r="Z21" s="61">
        <v>2023</v>
      </c>
      <c r="AA21" s="61">
        <v>2024</v>
      </c>
      <c r="AB21" s="61">
        <v>2025</v>
      </c>
      <c r="AC21" s="12"/>
      <c r="AD21" s="11"/>
      <c r="AE21" s="11"/>
      <c r="AF21" s="13"/>
      <c r="AG21" s="13"/>
      <c r="AH21" s="13"/>
      <c r="AI21" s="13"/>
      <c r="AJ21" s="13"/>
      <c r="AK21" s="13"/>
      <c r="AL21" s="12"/>
      <c r="AM21" s="13"/>
      <c r="AN21" s="13"/>
      <c r="AO21" s="13"/>
      <c r="AP21" s="13"/>
      <c r="AQ21" s="13"/>
      <c r="AR21" s="13"/>
      <c r="AS21" s="13"/>
      <c r="AT21" s="11"/>
      <c r="AU21" s="11"/>
      <c r="AV21" s="11"/>
      <c r="AW21" s="11"/>
      <c r="AX21" s="11"/>
      <c r="AY21" s="11"/>
      <c r="AZ21" s="11"/>
      <c r="BA21" s="11"/>
      <c r="BB21" s="11"/>
      <c r="BC21" s="11"/>
      <c r="BD21" s="14"/>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row>
    <row r="22" spans="1:86">
      <c r="A22" s="11"/>
      <c r="B22" s="11"/>
      <c r="C22" s="16" t="s">
        <v>31</v>
      </c>
      <c r="D22" s="17" t="s">
        <v>32</v>
      </c>
      <c r="E22" s="18">
        <v>1717.1867534252601</v>
      </c>
      <c r="F22" s="18">
        <v>1570.9854483389179</v>
      </c>
      <c r="G22" s="18">
        <v>1451.8061683770134</v>
      </c>
      <c r="H22" s="18">
        <v>1433.2157078932228</v>
      </c>
      <c r="I22" s="18">
        <v>1216.0985760598846</v>
      </c>
      <c r="J22" s="18">
        <v>1199.6711266927639</v>
      </c>
      <c r="K22" s="11"/>
      <c r="L22" s="16" t="s">
        <v>31</v>
      </c>
      <c r="M22" s="17" t="s">
        <v>32</v>
      </c>
      <c r="N22" s="18">
        <v>173.449230419483</v>
      </c>
      <c r="O22" s="18">
        <v>168.04715162805726</v>
      </c>
      <c r="P22" s="18">
        <v>168.69017004065432</v>
      </c>
      <c r="Q22" s="18">
        <v>171.39710546030165</v>
      </c>
      <c r="R22" s="18">
        <v>167.19232775676599</v>
      </c>
      <c r="S22" s="18">
        <v>179.466282503635</v>
      </c>
      <c r="T22" s="11"/>
      <c r="U22" s="16" t="s">
        <v>31</v>
      </c>
      <c r="V22" s="17" t="s">
        <v>32</v>
      </c>
      <c r="W22" s="18">
        <f>E22+N22</f>
        <v>1890.6359838447431</v>
      </c>
      <c r="X22" s="18">
        <f t="shared" ref="X22:X29" si="3">F22+O22</f>
        <v>1739.0325999669751</v>
      </c>
      <c r="Y22" s="18">
        <f t="shared" ref="Y22:Y29" si="4">G22+P22</f>
        <v>1620.4963384176676</v>
      </c>
      <c r="Z22" s="18">
        <f t="shared" ref="Z22:Z29" si="5">H22+Q22</f>
        <v>1604.6128133535244</v>
      </c>
      <c r="AA22" s="18">
        <f t="shared" ref="AA22:AA29" si="6">I22+R22</f>
        <v>1383.2909038166506</v>
      </c>
      <c r="AB22" s="18">
        <f t="shared" ref="AB22:AB29" si="7">J22+S22</f>
        <v>1379.1374091963989</v>
      </c>
      <c r="AC22" s="19"/>
      <c r="AD22" s="20"/>
      <c r="AE22" s="15"/>
      <c r="AF22" s="21"/>
      <c r="AG22" s="21"/>
      <c r="AH22" s="21"/>
      <c r="AI22" s="21"/>
      <c r="AJ22" s="21"/>
      <c r="AK22" s="21"/>
      <c r="AL22" s="19"/>
      <c r="AM22" s="21"/>
      <c r="AN22" s="21"/>
      <c r="AO22" s="21"/>
      <c r="AP22" s="21"/>
      <c r="AQ22" s="21"/>
      <c r="AR22" s="21"/>
      <c r="AS22" s="21"/>
      <c r="AT22" s="11"/>
      <c r="AU22" s="11"/>
      <c r="AV22" s="11"/>
      <c r="AW22" s="11"/>
      <c r="AX22" s="11"/>
      <c r="AY22" s="11"/>
      <c r="AZ22" s="11"/>
      <c r="BA22" s="11"/>
      <c r="BB22" s="11"/>
      <c r="BC22" s="11"/>
      <c r="BD22" s="14"/>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row>
    <row r="23" spans="1:86">
      <c r="C23" s="16" t="s">
        <v>33</v>
      </c>
      <c r="D23" s="17" t="s">
        <v>32</v>
      </c>
      <c r="E23" s="18">
        <v>11809.997879936442</v>
      </c>
      <c r="F23" s="18">
        <v>11712.651249561308</v>
      </c>
      <c r="G23" s="18">
        <v>11840.083453502928</v>
      </c>
      <c r="H23" s="18">
        <v>11572.509635333103</v>
      </c>
      <c r="I23" s="18">
        <v>10253.798272218777</v>
      </c>
      <c r="J23" s="18">
        <v>10421.425176207775</v>
      </c>
      <c r="L23" s="16" t="s">
        <v>33</v>
      </c>
      <c r="M23" s="17" t="s">
        <v>32</v>
      </c>
      <c r="N23" s="18">
        <v>4432.769273755297</v>
      </c>
      <c r="O23" s="18">
        <v>4188.1220725141884</v>
      </c>
      <c r="P23" s="18">
        <v>4285.3913519781509</v>
      </c>
      <c r="Q23" s="18">
        <v>4388.8683423928342</v>
      </c>
      <c r="R23" s="18">
        <v>4585.1327290686368</v>
      </c>
      <c r="S23" s="18">
        <v>4650.0476604460664</v>
      </c>
      <c r="U23" s="16" t="s">
        <v>33</v>
      </c>
      <c r="V23" s="17" t="s">
        <v>32</v>
      </c>
      <c r="W23" s="18">
        <f t="shared" ref="W23:W29" si="8">E23+N23</f>
        <v>16242.767153691739</v>
      </c>
      <c r="X23" s="18">
        <f t="shared" si="3"/>
        <v>15900.773322075496</v>
      </c>
      <c r="Y23" s="18">
        <f t="shared" si="4"/>
        <v>16125.474805481079</v>
      </c>
      <c r="Z23" s="18">
        <f t="shared" si="5"/>
        <v>15961.377977725937</v>
      </c>
      <c r="AA23" s="18">
        <f t="shared" si="6"/>
        <v>14838.931001287414</v>
      </c>
      <c r="AB23" s="18">
        <f t="shared" si="7"/>
        <v>15071.47283665384</v>
      </c>
      <c r="AC23" s="19"/>
      <c r="AD23" s="20"/>
      <c r="AE23" s="15"/>
      <c r="AF23" s="21"/>
      <c r="AG23" s="21"/>
      <c r="AH23" s="21"/>
      <c r="AI23" s="21"/>
      <c r="AJ23" s="21"/>
      <c r="AK23" s="21"/>
      <c r="AL23" s="19"/>
      <c r="AM23" s="21"/>
      <c r="AN23" s="21"/>
      <c r="AO23" s="21"/>
      <c r="AP23" s="21"/>
      <c r="AQ23" s="21"/>
      <c r="AR23" s="21"/>
      <c r="AS23" s="21"/>
    </row>
    <row r="24" spans="1:86">
      <c r="C24" s="16" t="s">
        <v>34</v>
      </c>
      <c r="D24" s="17" t="s">
        <v>32</v>
      </c>
      <c r="E24" s="18">
        <v>10798.704403047819</v>
      </c>
      <c r="F24" s="18">
        <v>11188.963245045443</v>
      </c>
      <c r="G24" s="18">
        <v>10364.050834279971</v>
      </c>
      <c r="H24" s="18">
        <v>10320.938780293825</v>
      </c>
      <c r="I24" s="18">
        <v>9697.1932778535338</v>
      </c>
      <c r="J24" s="18">
        <v>9029.6085058004428</v>
      </c>
      <c r="L24" s="16" t="s">
        <v>34</v>
      </c>
      <c r="M24" s="17" t="s">
        <v>32</v>
      </c>
      <c r="N24" s="18">
        <v>86.603239899222999</v>
      </c>
      <c r="O24" s="18">
        <v>100.37547325813793</v>
      </c>
      <c r="P24" s="18">
        <v>98.457072278769587</v>
      </c>
      <c r="Q24" s="18">
        <v>98.277712247897853</v>
      </c>
      <c r="R24" s="18">
        <v>95.094196290967432</v>
      </c>
      <c r="S24" s="18">
        <v>96.47953966014974</v>
      </c>
      <c r="U24" s="16" t="s">
        <v>34</v>
      </c>
      <c r="V24" s="17" t="s">
        <v>32</v>
      </c>
      <c r="W24" s="18">
        <f t="shared" si="8"/>
        <v>10885.307642947042</v>
      </c>
      <c r="X24" s="18">
        <f t="shared" si="3"/>
        <v>11289.338718303581</v>
      </c>
      <c r="Y24" s="18">
        <f t="shared" si="4"/>
        <v>10462.507906558742</v>
      </c>
      <c r="Z24" s="18">
        <f t="shared" si="5"/>
        <v>10419.216492541724</v>
      </c>
      <c r="AA24" s="18">
        <f t="shared" si="6"/>
        <v>9792.2874741445012</v>
      </c>
      <c r="AB24" s="18">
        <f t="shared" si="7"/>
        <v>9126.0880454605922</v>
      </c>
      <c r="AC24" s="19"/>
      <c r="AD24" s="28"/>
      <c r="AE24" s="15"/>
      <c r="AF24" s="21"/>
      <c r="AG24" s="21"/>
      <c r="AH24" s="21"/>
      <c r="AI24" s="21"/>
      <c r="AJ24" s="21"/>
      <c r="AK24" s="21"/>
      <c r="AL24" s="19"/>
      <c r="AM24" s="21"/>
      <c r="AN24" s="21"/>
      <c r="AO24" s="21"/>
      <c r="AP24" s="21"/>
      <c r="AQ24" s="21"/>
      <c r="AR24" s="21"/>
      <c r="AS24" s="21"/>
    </row>
    <row r="25" spans="1:86">
      <c r="C25" s="16" t="s">
        <v>35</v>
      </c>
      <c r="D25" s="17" t="s">
        <v>32</v>
      </c>
      <c r="E25" s="18">
        <v>120382.22992528696</v>
      </c>
      <c r="F25" s="18">
        <v>126055.89253295065</v>
      </c>
      <c r="G25" s="18">
        <v>132542.137179871</v>
      </c>
      <c r="H25" s="18">
        <v>135498.73201550156</v>
      </c>
      <c r="I25" s="18">
        <v>139333.15242728806</v>
      </c>
      <c r="J25" s="18">
        <v>147560.94373965994</v>
      </c>
      <c r="L25" s="16" t="s">
        <v>35</v>
      </c>
      <c r="M25" s="17" t="s">
        <v>32</v>
      </c>
      <c r="N25" s="18">
        <v>2651.1716933199609</v>
      </c>
      <c r="O25" s="18">
        <v>2851.36530057446</v>
      </c>
      <c r="P25" s="18">
        <v>3225.5631803218912</v>
      </c>
      <c r="Q25" s="18">
        <v>11188.739043941805</v>
      </c>
      <c r="R25" s="18">
        <v>11408.233418402158</v>
      </c>
      <c r="S25" s="18">
        <v>11602.768259436159</v>
      </c>
      <c r="U25" s="16" t="s">
        <v>35</v>
      </c>
      <c r="V25" s="17" t="s">
        <v>32</v>
      </c>
      <c r="W25" s="18">
        <f t="shared" si="8"/>
        <v>123033.40161860692</v>
      </c>
      <c r="X25" s="18">
        <f t="shared" si="3"/>
        <v>128907.2578335251</v>
      </c>
      <c r="Y25" s="18">
        <f t="shared" si="4"/>
        <v>135767.70036019289</v>
      </c>
      <c r="Z25" s="18">
        <f t="shared" si="5"/>
        <v>146687.47105944337</v>
      </c>
      <c r="AA25" s="18">
        <f t="shared" si="6"/>
        <v>150741.38584569021</v>
      </c>
      <c r="AB25" s="18">
        <f t="shared" si="7"/>
        <v>159163.71199909609</v>
      </c>
      <c r="AC25" s="19"/>
      <c r="AD25" s="20"/>
      <c r="AE25" s="15"/>
      <c r="AF25" s="21"/>
      <c r="AG25" s="21"/>
      <c r="AH25" s="21"/>
      <c r="AI25" s="21"/>
      <c r="AJ25" s="21"/>
      <c r="AK25" s="21"/>
      <c r="AL25" s="19"/>
      <c r="AM25" s="21"/>
      <c r="AN25" s="21"/>
      <c r="AO25" s="21"/>
      <c r="AP25" s="21"/>
      <c r="AQ25" s="21"/>
      <c r="AR25" s="21"/>
      <c r="AS25" s="21"/>
    </row>
    <row r="26" spans="1:86">
      <c r="C26" s="16" t="s">
        <v>36</v>
      </c>
      <c r="D26" s="17" t="s">
        <v>32</v>
      </c>
      <c r="E26" s="18">
        <v>480.03080383851466</v>
      </c>
      <c r="F26" s="18">
        <v>452.68770038118936</v>
      </c>
      <c r="G26" s="18">
        <v>372.3804111519832</v>
      </c>
      <c r="H26" s="18">
        <v>298.42729637020938</v>
      </c>
      <c r="I26" s="18">
        <v>369.94549390266064</v>
      </c>
      <c r="J26" s="18">
        <v>355.71682106025003</v>
      </c>
      <c r="L26" s="16" t="s">
        <v>36</v>
      </c>
      <c r="M26" s="17" t="s">
        <v>32</v>
      </c>
      <c r="N26" s="18">
        <v>0</v>
      </c>
      <c r="O26" s="18">
        <v>0</v>
      </c>
      <c r="P26" s="18">
        <v>0</v>
      </c>
      <c r="Q26" s="18">
        <v>0</v>
      </c>
      <c r="R26" s="18">
        <v>0</v>
      </c>
      <c r="S26" s="18">
        <v>0</v>
      </c>
      <c r="U26" s="16" t="s">
        <v>36</v>
      </c>
      <c r="V26" s="17" t="s">
        <v>32</v>
      </c>
      <c r="W26" s="18">
        <f t="shared" si="8"/>
        <v>480.03080383851466</v>
      </c>
      <c r="X26" s="18">
        <f t="shared" si="3"/>
        <v>452.68770038118936</v>
      </c>
      <c r="Y26" s="18">
        <f t="shared" si="4"/>
        <v>372.3804111519832</v>
      </c>
      <c r="Z26" s="18">
        <f t="shared" si="5"/>
        <v>298.42729637020938</v>
      </c>
      <c r="AA26" s="18">
        <f t="shared" si="6"/>
        <v>369.94549390266064</v>
      </c>
      <c r="AB26" s="18">
        <f t="shared" si="7"/>
        <v>355.71682106025003</v>
      </c>
      <c r="AC26" s="19"/>
      <c r="AD26" s="29"/>
      <c r="AE26" s="15"/>
      <c r="AF26" s="21"/>
      <c r="AG26" s="21"/>
      <c r="AH26" s="21"/>
      <c r="AI26" s="21"/>
      <c r="AJ26" s="21"/>
      <c r="AK26" s="21"/>
      <c r="AL26" s="19"/>
      <c r="AM26" s="21"/>
      <c r="AN26" s="21"/>
      <c r="AO26" s="21"/>
      <c r="AP26" s="21"/>
      <c r="AQ26" s="21"/>
      <c r="AR26" s="21"/>
      <c r="AS26" s="21"/>
    </row>
    <row r="27" spans="1:86">
      <c r="C27" s="16" t="s">
        <v>37</v>
      </c>
      <c r="D27" s="17" t="s">
        <v>32</v>
      </c>
      <c r="E27" s="18">
        <v>4715.7597832867259</v>
      </c>
      <c r="F27" s="18">
        <v>4757.4560679571696</v>
      </c>
      <c r="G27" s="18">
        <v>3235.6957016659412</v>
      </c>
      <c r="H27" s="18">
        <v>2399.0362803759849</v>
      </c>
      <c r="I27" s="18">
        <v>2685.3438166262563</v>
      </c>
      <c r="J27" s="18">
        <v>2744.7545003014857</v>
      </c>
      <c r="L27" s="16" t="s">
        <v>37</v>
      </c>
      <c r="M27" s="17" t="s">
        <v>32</v>
      </c>
      <c r="N27" s="18">
        <v>997.68530191084551</v>
      </c>
      <c r="O27" s="18">
        <v>924.07535082118739</v>
      </c>
      <c r="P27" s="18">
        <v>310.54031323097269</v>
      </c>
      <c r="Q27" s="18">
        <v>163.55225225974419</v>
      </c>
      <c r="R27" s="18">
        <v>169.23257066089315</v>
      </c>
      <c r="S27" s="18">
        <v>176.33187504588886</v>
      </c>
      <c r="U27" s="16" t="s">
        <v>37</v>
      </c>
      <c r="V27" s="17" t="s">
        <v>32</v>
      </c>
      <c r="W27" s="18">
        <f t="shared" si="8"/>
        <v>5713.4450851975716</v>
      </c>
      <c r="X27" s="18">
        <f t="shared" si="3"/>
        <v>5681.531418778357</v>
      </c>
      <c r="Y27" s="18">
        <f t="shared" si="4"/>
        <v>3546.2360148969137</v>
      </c>
      <c r="Z27" s="18">
        <f t="shared" si="5"/>
        <v>2562.5885326357293</v>
      </c>
      <c r="AA27" s="18">
        <f t="shared" si="6"/>
        <v>2854.5763872871494</v>
      </c>
      <c r="AB27" s="18">
        <f t="shared" si="7"/>
        <v>2921.0863753473745</v>
      </c>
      <c r="AC27" s="19"/>
      <c r="AD27" s="20"/>
      <c r="AE27" s="15"/>
      <c r="AF27" s="21"/>
      <c r="AG27" s="21"/>
      <c r="AH27" s="21"/>
      <c r="AI27" s="21"/>
      <c r="AJ27" s="21"/>
      <c r="AK27" s="21"/>
      <c r="AL27" s="19"/>
      <c r="AM27" s="21"/>
      <c r="AN27" s="21"/>
      <c r="AO27" s="21"/>
      <c r="AP27" s="21"/>
      <c r="AQ27" s="21"/>
      <c r="AR27" s="21"/>
      <c r="AS27" s="21"/>
    </row>
    <row r="28" spans="1:86">
      <c r="C28" s="16" t="s">
        <v>38</v>
      </c>
      <c r="D28" s="17" t="s">
        <v>32</v>
      </c>
      <c r="E28" s="18">
        <v>18930.828157954704</v>
      </c>
      <c r="F28" s="18">
        <v>18385.387623263006</v>
      </c>
      <c r="G28" s="18">
        <v>17010.511050634341</v>
      </c>
      <c r="H28" s="18">
        <v>16252.188479111033</v>
      </c>
      <c r="I28" s="18">
        <v>14307.038720843932</v>
      </c>
      <c r="J28" s="18">
        <v>14233.345345969636</v>
      </c>
      <c r="L28" s="16" t="s">
        <v>38</v>
      </c>
      <c r="M28" s="17" t="s">
        <v>32</v>
      </c>
      <c r="N28" s="18">
        <v>397.67402079999579</v>
      </c>
      <c r="O28" s="18">
        <v>410.85060160302629</v>
      </c>
      <c r="P28" s="18">
        <v>368.8211289227246</v>
      </c>
      <c r="Q28" s="18">
        <v>338.93077987427682</v>
      </c>
      <c r="R28" s="18">
        <v>327.19483697684979</v>
      </c>
      <c r="S28" s="18">
        <v>323.97746084363888</v>
      </c>
      <c r="U28" s="16" t="s">
        <v>38</v>
      </c>
      <c r="V28" s="17" t="s">
        <v>32</v>
      </c>
      <c r="W28" s="18">
        <f t="shared" si="8"/>
        <v>19328.502178754701</v>
      </c>
      <c r="X28" s="18">
        <f t="shared" si="3"/>
        <v>18796.238224866032</v>
      </c>
      <c r="Y28" s="18">
        <f t="shared" si="4"/>
        <v>17379.332179557066</v>
      </c>
      <c r="Z28" s="18">
        <f t="shared" si="5"/>
        <v>16591.119258985309</v>
      </c>
      <c r="AA28" s="18">
        <f t="shared" si="6"/>
        <v>14634.233557820782</v>
      </c>
      <c r="AB28" s="18">
        <f t="shared" si="7"/>
        <v>14557.322806813274</v>
      </c>
      <c r="AC28" s="19"/>
      <c r="AD28" s="20"/>
      <c r="AE28" s="15"/>
      <c r="AF28" s="21"/>
      <c r="AG28" s="21"/>
      <c r="AH28" s="21"/>
      <c r="AI28" s="21"/>
      <c r="AJ28" s="21"/>
      <c r="AK28" s="21"/>
      <c r="AL28" s="19"/>
      <c r="AM28" s="21"/>
      <c r="AN28" s="21"/>
      <c r="AO28" s="21"/>
      <c r="AP28" s="21"/>
      <c r="AQ28" s="21"/>
      <c r="AR28" s="21"/>
      <c r="AS28" s="21"/>
    </row>
    <row r="29" spans="1:86">
      <c r="C29" s="16" t="s">
        <v>39</v>
      </c>
      <c r="D29" s="17" t="s">
        <v>32</v>
      </c>
      <c r="E29" s="18">
        <v>2729.5034241188246</v>
      </c>
      <c r="F29" s="18">
        <v>3029.7193798870203</v>
      </c>
      <c r="G29" s="18">
        <v>3030.0684228778186</v>
      </c>
      <c r="H29" s="18">
        <v>3093.1428168831007</v>
      </c>
      <c r="I29" s="18">
        <v>3174.6576670476034</v>
      </c>
      <c r="J29" s="18">
        <v>3163.5566115611218</v>
      </c>
      <c r="L29" s="16" t="s">
        <v>39</v>
      </c>
      <c r="M29" s="17" t="s">
        <v>32</v>
      </c>
      <c r="N29" s="18">
        <v>224.30733761680867</v>
      </c>
      <c r="O29" s="18">
        <v>234.76667119751036</v>
      </c>
      <c r="P29" s="18">
        <v>218.98231077032136</v>
      </c>
      <c r="Q29" s="18">
        <v>225.70288154896082</v>
      </c>
      <c r="R29" s="18">
        <v>231.83877758533291</v>
      </c>
      <c r="S29" s="18">
        <v>234.84858877206148</v>
      </c>
      <c r="U29" s="16" t="s">
        <v>39</v>
      </c>
      <c r="V29" s="17" t="s">
        <v>32</v>
      </c>
      <c r="W29" s="18">
        <f t="shared" si="8"/>
        <v>2953.8107617356332</v>
      </c>
      <c r="X29" s="18">
        <f t="shared" si="3"/>
        <v>3264.4860510845306</v>
      </c>
      <c r="Y29" s="18">
        <f t="shared" si="4"/>
        <v>3249.0507336481401</v>
      </c>
      <c r="Z29" s="18">
        <f t="shared" si="5"/>
        <v>3318.8456984320615</v>
      </c>
      <c r="AA29" s="18">
        <f t="shared" si="6"/>
        <v>3406.4964446329363</v>
      </c>
      <c r="AB29" s="18">
        <f t="shared" si="7"/>
        <v>3398.4052003331835</v>
      </c>
      <c r="AC29" s="19"/>
      <c r="AD29" s="20"/>
      <c r="AE29" s="15"/>
      <c r="AF29" s="21"/>
      <c r="AG29" s="21"/>
      <c r="AH29" s="21"/>
      <c r="AI29" s="21"/>
      <c r="AJ29" s="21"/>
      <c r="AK29" s="21"/>
      <c r="AL29" s="19"/>
      <c r="AM29" s="21"/>
      <c r="AN29" s="21"/>
      <c r="AO29" s="21"/>
      <c r="AP29" s="21"/>
      <c r="AQ29" s="21"/>
      <c r="AR29" s="21"/>
      <c r="AS29" s="21"/>
    </row>
    <row r="30" spans="1:86">
      <c r="A30" s="22"/>
      <c r="C30" s="23" t="s">
        <v>40</v>
      </c>
      <c r="D30" s="17" t="s">
        <v>32</v>
      </c>
      <c r="E30" s="24">
        <v>171564.24113089524</v>
      </c>
      <c r="F30" s="24">
        <v>177153.74324738467</v>
      </c>
      <c r="G30" s="24">
        <v>179846.73322236098</v>
      </c>
      <c r="H30" s="24">
        <v>180868.19101176207</v>
      </c>
      <c r="I30" s="24">
        <v>181037.22825184072</v>
      </c>
      <c r="J30" s="24">
        <v>188709.02182725343</v>
      </c>
      <c r="L30" s="23" t="s">
        <v>40</v>
      </c>
      <c r="M30" s="17" t="s">
        <v>32</v>
      </c>
      <c r="N30" s="24">
        <v>8963.6600977216131</v>
      </c>
      <c r="O30" s="24">
        <v>8877.6026215965685</v>
      </c>
      <c r="P30" s="24">
        <v>8676.4455275434848</v>
      </c>
      <c r="Q30" s="24">
        <v>16575.468117725821</v>
      </c>
      <c r="R30" s="24">
        <v>16983.918856741606</v>
      </c>
      <c r="S30" s="24">
        <v>17263.919666707596</v>
      </c>
      <c r="U30" s="23" t="s">
        <v>40</v>
      </c>
      <c r="V30" s="17" t="s">
        <v>32</v>
      </c>
      <c r="W30" s="24">
        <f>SUM(W22:W29)</f>
        <v>180527.90122861686</v>
      </c>
      <c r="X30" s="24">
        <f t="shared" ref="X30:AB30" si="9">SUM(X22:X29)</f>
        <v>186031.34586898127</v>
      </c>
      <c r="Y30" s="24">
        <f t="shared" si="9"/>
        <v>188523.17874990447</v>
      </c>
      <c r="Z30" s="24">
        <f t="shared" si="9"/>
        <v>197443.65912948787</v>
      </c>
      <c r="AA30" s="24">
        <f t="shared" si="9"/>
        <v>198021.14710858231</v>
      </c>
      <c r="AB30" s="24">
        <f t="shared" si="9"/>
        <v>205972.941493961</v>
      </c>
      <c r="AC30" s="25"/>
      <c r="AD30" s="26"/>
      <c r="AE30" s="15"/>
      <c r="AF30" s="27"/>
      <c r="AG30" s="27"/>
      <c r="AH30" s="27"/>
      <c r="AI30" s="27"/>
      <c r="AJ30" s="27"/>
      <c r="AK30" s="27"/>
      <c r="AL30" s="25"/>
      <c r="AM30" s="27"/>
      <c r="AN30" s="27"/>
      <c r="AO30" s="27"/>
      <c r="AP30" s="27"/>
      <c r="AQ30" s="27"/>
      <c r="AR30" s="27"/>
      <c r="AS30" s="27"/>
    </row>
    <row r="32" spans="1:86">
      <c r="C32" s="9" t="s">
        <v>0</v>
      </c>
      <c r="D32" s="9"/>
      <c r="E32" s="9"/>
      <c r="F32" s="9"/>
      <c r="G32" s="9"/>
      <c r="H32" s="9"/>
      <c r="I32" s="9"/>
      <c r="J32" s="9"/>
      <c r="L32" s="9" t="s">
        <v>0</v>
      </c>
      <c r="M32" s="9"/>
      <c r="N32" s="9"/>
      <c r="O32" s="9"/>
      <c r="P32" s="9"/>
      <c r="Q32" s="9"/>
      <c r="R32" s="9"/>
      <c r="S32" s="9"/>
      <c r="U32" s="9" t="s">
        <v>0</v>
      </c>
      <c r="V32" s="9"/>
      <c r="W32" s="9"/>
      <c r="X32" s="9"/>
      <c r="Y32" s="9"/>
      <c r="Z32" s="9"/>
      <c r="AA32" s="9"/>
      <c r="AB32" s="9"/>
      <c r="AC32" s="8"/>
      <c r="AD32" s="10"/>
      <c r="AE32" s="10"/>
      <c r="AF32" s="10"/>
      <c r="AG32" s="10"/>
      <c r="AH32" s="10"/>
      <c r="AI32" s="10"/>
      <c r="AJ32" s="10"/>
      <c r="AK32" s="10"/>
      <c r="AL32" s="8"/>
      <c r="AM32" s="10"/>
      <c r="AN32" s="10"/>
      <c r="AO32" s="10"/>
      <c r="AP32" s="10"/>
      <c r="AQ32" s="10"/>
      <c r="AR32" s="10"/>
      <c r="AS32" s="10"/>
    </row>
    <row r="33" spans="1:86" s="15" customFormat="1">
      <c r="A33" s="11"/>
      <c r="B33" s="11"/>
      <c r="C33" s="60"/>
      <c r="D33" s="60" t="s">
        <v>11</v>
      </c>
      <c r="E33" s="61">
        <v>2020</v>
      </c>
      <c r="F33" s="61">
        <v>2021</v>
      </c>
      <c r="G33" s="61">
        <v>2022</v>
      </c>
      <c r="H33" s="61">
        <v>2023</v>
      </c>
      <c r="I33" s="61">
        <v>2024</v>
      </c>
      <c r="J33" s="61">
        <v>2025</v>
      </c>
      <c r="K33" s="11"/>
      <c r="L33" s="60"/>
      <c r="M33" s="60" t="s">
        <v>11</v>
      </c>
      <c r="N33" s="61">
        <v>2020</v>
      </c>
      <c r="O33" s="61">
        <v>2021</v>
      </c>
      <c r="P33" s="61">
        <v>2022</v>
      </c>
      <c r="Q33" s="61">
        <v>2023</v>
      </c>
      <c r="R33" s="61">
        <v>2024</v>
      </c>
      <c r="S33" s="61">
        <v>2025</v>
      </c>
      <c r="T33" s="11"/>
      <c r="U33" s="60"/>
      <c r="V33" s="60" t="s">
        <v>11</v>
      </c>
      <c r="W33" s="61">
        <v>2020</v>
      </c>
      <c r="X33" s="61">
        <v>2021</v>
      </c>
      <c r="Y33" s="61">
        <v>2022</v>
      </c>
      <c r="Z33" s="61">
        <v>2023</v>
      </c>
      <c r="AA33" s="61">
        <v>2024</v>
      </c>
      <c r="AB33" s="61">
        <v>2025</v>
      </c>
      <c r="AC33" s="12"/>
      <c r="AD33" s="11"/>
      <c r="AE33" s="11"/>
      <c r="AF33" s="13"/>
      <c r="AG33" s="13"/>
      <c r="AH33" s="13"/>
      <c r="AI33" s="13"/>
      <c r="AJ33" s="13"/>
      <c r="AK33" s="13"/>
      <c r="AL33" s="12"/>
      <c r="AM33" s="13"/>
      <c r="AN33" s="13"/>
      <c r="AO33" s="13"/>
      <c r="AP33" s="13"/>
      <c r="AQ33" s="13"/>
      <c r="AR33" s="13"/>
      <c r="AS33" s="13"/>
      <c r="AT33" s="11"/>
      <c r="AU33" s="11"/>
      <c r="AV33" s="11"/>
      <c r="AW33" s="11"/>
      <c r="AX33" s="11"/>
      <c r="AY33" s="11"/>
      <c r="AZ33" s="11"/>
      <c r="BA33" s="11"/>
      <c r="BB33" s="11"/>
      <c r="BC33" s="11"/>
      <c r="BD33" s="14"/>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row>
    <row r="34" spans="1:86">
      <c r="A34" s="11"/>
      <c r="B34" s="11"/>
      <c r="C34" s="16" t="s">
        <v>31</v>
      </c>
      <c r="D34" s="17" t="s">
        <v>32</v>
      </c>
      <c r="E34" s="18">
        <v>11124.710776492588</v>
      </c>
      <c r="F34" s="18">
        <v>11006.8571219678</v>
      </c>
      <c r="G34" s="18">
        <v>10310.549915324265</v>
      </c>
      <c r="H34" s="18">
        <v>10098.374431217828</v>
      </c>
      <c r="I34" s="18">
        <v>10633.433399398848</v>
      </c>
      <c r="J34" s="18">
        <v>10646.706754912559</v>
      </c>
      <c r="K34" s="11"/>
      <c r="L34" s="16" t="s">
        <v>31</v>
      </c>
      <c r="M34" s="17" t="s">
        <v>32</v>
      </c>
      <c r="N34" s="18">
        <v>5398.8745834974179</v>
      </c>
      <c r="O34" s="18">
        <v>4611.389613135193</v>
      </c>
      <c r="P34" s="18">
        <v>3973.6941590293541</v>
      </c>
      <c r="Q34" s="18">
        <v>3300.8854962957457</v>
      </c>
      <c r="R34" s="18">
        <v>2963.2957838092325</v>
      </c>
      <c r="S34" s="18">
        <v>3015.7089133793284</v>
      </c>
      <c r="T34" s="11"/>
      <c r="U34" s="16" t="s">
        <v>31</v>
      </c>
      <c r="V34" s="17" t="s">
        <v>32</v>
      </c>
      <c r="W34" s="18">
        <f>E34+N34</f>
        <v>16523.585359990007</v>
      </c>
      <c r="X34" s="18">
        <f t="shared" ref="X34:X41" si="10">F34+O34</f>
        <v>15618.246735102992</v>
      </c>
      <c r="Y34" s="18">
        <f t="shared" ref="Y34:Y41" si="11">G34+P34</f>
        <v>14284.244074353619</v>
      </c>
      <c r="Z34" s="18">
        <f t="shared" ref="Z34:Z41" si="12">H34+Q34</f>
        <v>13399.259927513573</v>
      </c>
      <c r="AA34" s="18">
        <f t="shared" ref="AA34:AA41" si="13">I34+R34</f>
        <v>13596.729183208081</v>
      </c>
      <c r="AB34" s="18">
        <f t="shared" ref="AB34:AB41" si="14">J34+S34</f>
        <v>13662.415668291887</v>
      </c>
      <c r="AC34" s="19"/>
      <c r="AD34" s="20"/>
      <c r="AE34" s="15"/>
      <c r="AF34" s="21"/>
      <c r="AG34" s="21"/>
      <c r="AH34" s="21"/>
      <c r="AI34" s="21"/>
      <c r="AJ34" s="21"/>
      <c r="AK34" s="21"/>
      <c r="AL34" s="19"/>
      <c r="AM34" s="21"/>
      <c r="AN34" s="21"/>
      <c r="AO34" s="21"/>
      <c r="AP34" s="21"/>
      <c r="AQ34" s="21"/>
      <c r="AR34" s="21"/>
      <c r="AS34" s="21"/>
      <c r="AT34" s="11"/>
      <c r="AU34" s="11"/>
      <c r="AV34" s="11"/>
      <c r="AW34" s="11"/>
      <c r="AX34" s="11"/>
      <c r="AY34" s="11"/>
      <c r="AZ34" s="11"/>
      <c r="BA34" s="11"/>
      <c r="BB34" s="11"/>
      <c r="BC34" s="11"/>
      <c r="BD34" s="14"/>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row>
    <row r="35" spans="1:86">
      <c r="C35" s="16" t="s">
        <v>33</v>
      </c>
      <c r="D35" s="17" t="s">
        <v>32</v>
      </c>
      <c r="E35" s="18">
        <v>15749.122408814474</v>
      </c>
      <c r="F35" s="18">
        <v>15351.358891851663</v>
      </c>
      <c r="G35" s="18">
        <v>15347.592821507182</v>
      </c>
      <c r="H35" s="18">
        <v>15471.511091270548</v>
      </c>
      <c r="I35" s="18">
        <v>15970.497669834296</v>
      </c>
      <c r="J35" s="18">
        <v>16292.118152366456</v>
      </c>
      <c r="L35" s="16" t="s">
        <v>33</v>
      </c>
      <c r="M35" s="17" t="s">
        <v>32</v>
      </c>
      <c r="N35" s="18">
        <v>3242.986513772601</v>
      </c>
      <c r="O35" s="18">
        <v>3239.4722614247748</v>
      </c>
      <c r="P35" s="18">
        <v>3208.2896149923399</v>
      </c>
      <c r="Q35" s="18">
        <v>3080.3271491931951</v>
      </c>
      <c r="R35" s="18">
        <v>3211.2774811445147</v>
      </c>
      <c r="S35" s="18">
        <v>3269.1419993903214</v>
      </c>
      <c r="U35" s="16" t="s">
        <v>33</v>
      </c>
      <c r="V35" s="17" t="s">
        <v>32</v>
      </c>
      <c r="W35" s="18">
        <f t="shared" ref="W35:W41" si="15">E35+N35</f>
        <v>18992.108922587075</v>
      </c>
      <c r="X35" s="18">
        <f t="shared" si="10"/>
        <v>18590.831153276438</v>
      </c>
      <c r="Y35" s="18">
        <f t="shared" si="11"/>
        <v>18555.882436499523</v>
      </c>
      <c r="Z35" s="18">
        <f t="shared" si="12"/>
        <v>18551.838240463741</v>
      </c>
      <c r="AA35" s="18">
        <f t="shared" si="13"/>
        <v>19181.77515097881</v>
      </c>
      <c r="AB35" s="18">
        <f t="shared" si="14"/>
        <v>19561.260151756778</v>
      </c>
      <c r="AC35" s="19"/>
      <c r="AD35" s="20"/>
      <c r="AE35" s="15"/>
      <c r="AF35" s="21"/>
      <c r="AG35" s="21"/>
      <c r="AH35" s="21"/>
      <c r="AI35" s="21"/>
      <c r="AJ35" s="21"/>
      <c r="AK35" s="21"/>
      <c r="AL35" s="19"/>
      <c r="AM35" s="21"/>
      <c r="AN35" s="21"/>
      <c r="AO35" s="21"/>
      <c r="AP35" s="21"/>
      <c r="AQ35" s="21"/>
      <c r="AR35" s="21"/>
      <c r="AS35" s="21"/>
    </row>
    <row r="36" spans="1:86">
      <c r="C36" s="16" t="s">
        <v>34</v>
      </c>
      <c r="D36" s="17" t="s">
        <v>32</v>
      </c>
      <c r="E36" s="18">
        <v>3199.1142612648564</v>
      </c>
      <c r="F36" s="18">
        <v>3505.112599771137</v>
      </c>
      <c r="G36" s="18">
        <v>4006.8376669995787</v>
      </c>
      <c r="H36" s="18">
        <v>4552.0243802658342</v>
      </c>
      <c r="I36" s="18">
        <v>4763.0544527181346</v>
      </c>
      <c r="J36" s="18">
        <v>5029.2953516112912</v>
      </c>
      <c r="L36" s="16" t="s">
        <v>34</v>
      </c>
      <c r="M36" s="17" t="s">
        <v>32</v>
      </c>
      <c r="N36" s="18">
        <v>0</v>
      </c>
      <c r="O36" s="18">
        <v>0</v>
      </c>
      <c r="P36" s="18">
        <v>0</v>
      </c>
      <c r="Q36" s="18">
        <v>0</v>
      </c>
      <c r="R36" s="18">
        <v>0</v>
      </c>
      <c r="S36" s="18">
        <v>0</v>
      </c>
      <c r="U36" s="16" t="s">
        <v>34</v>
      </c>
      <c r="V36" s="17" t="s">
        <v>32</v>
      </c>
      <c r="W36" s="18">
        <f t="shared" si="15"/>
        <v>3199.1142612648564</v>
      </c>
      <c r="X36" s="18">
        <f t="shared" si="10"/>
        <v>3505.112599771137</v>
      </c>
      <c r="Y36" s="18">
        <f t="shared" si="11"/>
        <v>4006.8376669995787</v>
      </c>
      <c r="Z36" s="18">
        <f t="shared" si="12"/>
        <v>4552.0243802658342</v>
      </c>
      <c r="AA36" s="18">
        <f t="shared" si="13"/>
        <v>4763.0544527181346</v>
      </c>
      <c r="AB36" s="18">
        <f t="shared" si="14"/>
        <v>5029.2953516112912</v>
      </c>
      <c r="AC36" s="19"/>
      <c r="AD36" s="20"/>
      <c r="AE36" s="15"/>
      <c r="AF36" s="21"/>
      <c r="AG36" s="21"/>
      <c r="AH36" s="21"/>
      <c r="AI36" s="21"/>
      <c r="AJ36" s="21"/>
      <c r="AK36" s="21"/>
      <c r="AL36" s="19"/>
      <c r="AM36" s="21"/>
      <c r="AN36" s="21"/>
      <c r="AO36" s="21"/>
      <c r="AP36" s="21"/>
      <c r="AQ36" s="21"/>
      <c r="AR36" s="21"/>
      <c r="AS36" s="21"/>
    </row>
    <row r="37" spans="1:86">
      <c r="C37" s="16" t="s">
        <v>35</v>
      </c>
      <c r="D37" s="17" t="s">
        <v>32</v>
      </c>
      <c r="E37" s="18">
        <v>458307.40837790852</v>
      </c>
      <c r="F37" s="18">
        <v>476421.04300334764</v>
      </c>
      <c r="G37" s="18">
        <v>483762.183737855</v>
      </c>
      <c r="H37" s="18">
        <v>492267.60073132737</v>
      </c>
      <c r="I37" s="18">
        <v>499085.62667435623</v>
      </c>
      <c r="J37" s="18">
        <v>500887.77939467254</v>
      </c>
      <c r="L37" s="16" t="s">
        <v>35</v>
      </c>
      <c r="M37" s="17" t="s">
        <v>32</v>
      </c>
      <c r="N37" s="18">
        <v>57805.267692943205</v>
      </c>
      <c r="O37" s="18">
        <v>61500.496800978821</v>
      </c>
      <c r="P37" s="18">
        <v>68180.553873585057</v>
      </c>
      <c r="Q37" s="18">
        <v>75836.172126276404</v>
      </c>
      <c r="R37" s="18">
        <v>82463.107229413625</v>
      </c>
      <c r="S37" s="18">
        <v>83775.460545224603</v>
      </c>
      <c r="U37" s="16" t="s">
        <v>35</v>
      </c>
      <c r="V37" s="17" t="s">
        <v>32</v>
      </c>
      <c r="W37" s="18">
        <f t="shared" si="15"/>
        <v>516112.67607085174</v>
      </c>
      <c r="X37" s="18">
        <f t="shared" si="10"/>
        <v>537921.53980432649</v>
      </c>
      <c r="Y37" s="18">
        <f t="shared" si="11"/>
        <v>551942.73761144001</v>
      </c>
      <c r="Z37" s="18">
        <f t="shared" si="12"/>
        <v>568103.77285760373</v>
      </c>
      <c r="AA37" s="18">
        <f t="shared" si="13"/>
        <v>581548.73390376987</v>
      </c>
      <c r="AB37" s="18">
        <f t="shared" si="14"/>
        <v>584663.23993989709</v>
      </c>
      <c r="AC37" s="19"/>
      <c r="AD37" s="20"/>
      <c r="AE37" s="15"/>
      <c r="AF37" s="21"/>
      <c r="AG37" s="21"/>
      <c r="AH37" s="21"/>
      <c r="AI37" s="21"/>
      <c r="AJ37" s="21"/>
      <c r="AK37" s="21"/>
      <c r="AL37" s="19"/>
      <c r="AM37" s="21"/>
      <c r="AN37" s="21"/>
      <c r="AO37" s="21"/>
      <c r="AP37" s="21"/>
      <c r="AQ37" s="21"/>
      <c r="AR37" s="21"/>
      <c r="AS37" s="21"/>
    </row>
    <row r="38" spans="1:86">
      <c r="C38" s="16" t="s">
        <v>36</v>
      </c>
      <c r="D38" s="17" t="s">
        <v>32</v>
      </c>
      <c r="E38" s="18">
        <v>3409.4400056959407</v>
      </c>
      <c r="F38" s="18">
        <v>3473.1541032273121</v>
      </c>
      <c r="G38" s="18">
        <v>3563.3673146122974</v>
      </c>
      <c r="H38" s="18">
        <v>3477.6361775245914</v>
      </c>
      <c r="I38" s="18">
        <v>3423.4927949082235</v>
      </c>
      <c r="J38" s="18">
        <v>3570.9939309291694</v>
      </c>
      <c r="L38" s="16" t="s">
        <v>36</v>
      </c>
      <c r="M38" s="17" t="s">
        <v>32</v>
      </c>
      <c r="N38" s="18">
        <v>8914.7638581794363</v>
      </c>
      <c r="O38" s="18">
        <v>8902.1164826319127</v>
      </c>
      <c r="P38" s="18">
        <v>9107.3930589289466</v>
      </c>
      <c r="Q38" s="18">
        <v>8971.8174150755767</v>
      </c>
      <c r="R38" s="18">
        <v>8847.8680599274503</v>
      </c>
      <c r="S38" s="18">
        <v>8716.1293468200347</v>
      </c>
      <c r="U38" s="16" t="s">
        <v>36</v>
      </c>
      <c r="V38" s="17" t="s">
        <v>32</v>
      </c>
      <c r="W38" s="18">
        <f t="shared" si="15"/>
        <v>12324.203863875377</v>
      </c>
      <c r="X38" s="18">
        <f t="shared" si="10"/>
        <v>12375.270585859225</v>
      </c>
      <c r="Y38" s="18">
        <f t="shared" si="11"/>
        <v>12670.760373541245</v>
      </c>
      <c r="Z38" s="18">
        <f t="shared" si="12"/>
        <v>12449.453592600168</v>
      </c>
      <c r="AA38" s="18">
        <f t="shared" si="13"/>
        <v>12271.360854835673</v>
      </c>
      <c r="AB38" s="18">
        <f t="shared" si="14"/>
        <v>12287.123277749204</v>
      </c>
      <c r="AC38" s="19"/>
      <c r="AD38" s="20"/>
      <c r="AE38" s="15"/>
      <c r="AF38" s="21"/>
      <c r="AG38" s="21"/>
      <c r="AH38" s="21"/>
      <c r="AI38" s="21"/>
      <c r="AJ38" s="21"/>
      <c r="AK38" s="21"/>
      <c r="AL38" s="19"/>
      <c r="AM38" s="21"/>
      <c r="AN38" s="21"/>
      <c r="AO38" s="21"/>
      <c r="AP38" s="21"/>
      <c r="AQ38" s="21"/>
      <c r="AR38" s="21"/>
      <c r="AS38" s="21"/>
    </row>
    <row r="39" spans="1:86">
      <c r="C39" s="16" t="s">
        <v>37</v>
      </c>
      <c r="D39" s="17" t="s">
        <v>32</v>
      </c>
      <c r="E39" s="18">
        <v>9542.6498497873108</v>
      </c>
      <c r="F39" s="18">
        <v>9857.512154748938</v>
      </c>
      <c r="G39" s="18">
        <v>7719.897259912168</v>
      </c>
      <c r="H39" s="18">
        <v>7116.9229547821178</v>
      </c>
      <c r="I39" s="18">
        <v>7223.257375111586</v>
      </c>
      <c r="J39" s="18">
        <v>8001.8166899100588</v>
      </c>
      <c r="L39" s="16" t="s">
        <v>37</v>
      </c>
      <c r="M39" s="17" t="s">
        <v>32</v>
      </c>
      <c r="N39" s="18">
        <v>9275.0533806602525</v>
      </c>
      <c r="O39" s="18">
        <v>9275.4137348169679</v>
      </c>
      <c r="P39" s="18">
        <v>3663.7292126749066</v>
      </c>
      <c r="Q39" s="18">
        <v>2079.2836653287832</v>
      </c>
      <c r="R39" s="18">
        <v>1857.6941776643273</v>
      </c>
      <c r="S39" s="18">
        <v>2946.8158338466806</v>
      </c>
      <c r="U39" s="16" t="s">
        <v>37</v>
      </c>
      <c r="V39" s="17" t="s">
        <v>32</v>
      </c>
      <c r="W39" s="18">
        <f t="shared" si="15"/>
        <v>18817.703230447565</v>
      </c>
      <c r="X39" s="18">
        <f t="shared" si="10"/>
        <v>19132.925889565908</v>
      </c>
      <c r="Y39" s="18">
        <f t="shared" si="11"/>
        <v>11383.626472587075</v>
      </c>
      <c r="Z39" s="18">
        <f t="shared" si="12"/>
        <v>9196.206620110901</v>
      </c>
      <c r="AA39" s="18">
        <f t="shared" si="13"/>
        <v>9080.951552775914</v>
      </c>
      <c r="AB39" s="18">
        <f t="shared" si="14"/>
        <v>10948.63252375674</v>
      </c>
      <c r="AC39" s="19"/>
      <c r="AD39" s="20"/>
      <c r="AE39" s="15"/>
      <c r="AF39" s="21"/>
      <c r="AG39" s="21"/>
      <c r="AH39" s="21"/>
      <c r="AI39" s="21"/>
      <c r="AJ39" s="21"/>
      <c r="AK39" s="21"/>
      <c r="AL39" s="19"/>
      <c r="AM39" s="21"/>
      <c r="AN39" s="21"/>
      <c r="AO39" s="21"/>
      <c r="AP39" s="21"/>
      <c r="AQ39" s="21"/>
      <c r="AR39" s="21"/>
      <c r="AS39" s="21"/>
    </row>
    <row r="40" spans="1:86">
      <c r="C40" s="16" t="s">
        <v>38</v>
      </c>
      <c r="D40" s="17" t="s">
        <v>32</v>
      </c>
      <c r="E40" s="18">
        <v>4115.2451196787242</v>
      </c>
      <c r="F40" s="18">
        <v>4010.9769782867975</v>
      </c>
      <c r="G40" s="18">
        <v>3965.2354882013797</v>
      </c>
      <c r="H40" s="18">
        <v>4067.9423692591613</v>
      </c>
      <c r="I40" s="18">
        <v>4054.4820925217732</v>
      </c>
      <c r="J40" s="18">
        <v>4144.6620839918969</v>
      </c>
      <c r="L40" s="16" t="s">
        <v>38</v>
      </c>
      <c r="M40" s="17" t="s">
        <v>32</v>
      </c>
      <c r="N40" s="18">
        <v>17015.748300194351</v>
      </c>
      <c r="O40" s="18">
        <v>16835.141322633284</v>
      </c>
      <c r="P40" s="18">
        <v>15883.932093708083</v>
      </c>
      <c r="Q40" s="18">
        <v>16333.623228023742</v>
      </c>
      <c r="R40" s="18">
        <v>10956.813576018973</v>
      </c>
      <c r="S40" s="18">
        <v>10839.602312852639</v>
      </c>
      <c r="U40" s="16" t="s">
        <v>38</v>
      </c>
      <c r="V40" s="17" t="s">
        <v>32</v>
      </c>
      <c r="W40" s="18">
        <f t="shared" si="15"/>
        <v>21130.993419873077</v>
      </c>
      <c r="X40" s="18">
        <f t="shared" si="10"/>
        <v>20846.118300920083</v>
      </c>
      <c r="Y40" s="18">
        <f t="shared" si="11"/>
        <v>19849.167581909463</v>
      </c>
      <c r="Z40" s="18">
        <f t="shared" si="12"/>
        <v>20401.565597282904</v>
      </c>
      <c r="AA40" s="18">
        <f t="shared" si="13"/>
        <v>15011.295668540746</v>
      </c>
      <c r="AB40" s="18">
        <f t="shared" si="14"/>
        <v>14984.264396844537</v>
      </c>
      <c r="AC40" s="19"/>
      <c r="AD40" s="20"/>
      <c r="AE40" s="15"/>
      <c r="AF40" s="21"/>
      <c r="AG40" s="21"/>
      <c r="AH40" s="21"/>
      <c r="AI40" s="21"/>
      <c r="AJ40" s="21"/>
      <c r="AK40" s="21"/>
      <c r="AL40" s="19"/>
      <c r="AM40" s="21"/>
      <c r="AN40" s="21"/>
      <c r="AO40" s="21"/>
      <c r="AP40" s="21"/>
      <c r="AQ40" s="21"/>
      <c r="AR40" s="21"/>
      <c r="AS40" s="21"/>
    </row>
    <row r="41" spans="1:86">
      <c r="C41" s="16" t="s">
        <v>39</v>
      </c>
      <c r="D41" s="17" t="s">
        <v>32</v>
      </c>
      <c r="E41" s="18">
        <v>36366.060557639939</v>
      </c>
      <c r="F41" s="18">
        <v>36939.860402502869</v>
      </c>
      <c r="G41" s="18">
        <v>40077.475182943861</v>
      </c>
      <c r="H41" s="18">
        <v>40061.903936221272</v>
      </c>
      <c r="I41" s="18">
        <v>40254.558310027009</v>
      </c>
      <c r="J41" s="18">
        <v>39561.977288632312</v>
      </c>
      <c r="L41" s="16" t="s">
        <v>39</v>
      </c>
      <c r="M41" s="17" t="s">
        <v>32</v>
      </c>
      <c r="N41" s="18">
        <v>5527.0802264465647</v>
      </c>
      <c r="O41" s="18">
        <v>5717.7216441997616</v>
      </c>
      <c r="P41" s="18">
        <v>5779.7461867107932</v>
      </c>
      <c r="Q41" s="18">
        <v>5516.6486668569933</v>
      </c>
      <c r="R41" s="18">
        <v>5753.3109306641709</v>
      </c>
      <c r="S41" s="18">
        <v>5755.3520717234142</v>
      </c>
      <c r="U41" s="16" t="s">
        <v>39</v>
      </c>
      <c r="V41" s="17" t="s">
        <v>32</v>
      </c>
      <c r="W41" s="18">
        <f t="shared" si="15"/>
        <v>41893.140784086507</v>
      </c>
      <c r="X41" s="18">
        <f t="shared" si="10"/>
        <v>42657.582046702628</v>
      </c>
      <c r="Y41" s="18">
        <f t="shared" si="11"/>
        <v>45857.221369654653</v>
      </c>
      <c r="Z41" s="18">
        <f t="shared" si="12"/>
        <v>45578.552603078264</v>
      </c>
      <c r="AA41" s="18">
        <f t="shared" si="13"/>
        <v>46007.86924069118</v>
      </c>
      <c r="AB41" s="18">
        <f t="shared" si="14"/>
        <v>45317.329360355725</v>
      </c>
      <c r="AC41" s="19"/>
      <c r="AD41" s="20"/>
      <c r="AE41" s="15"/>
      <c r="AF41" s="21"/>
      <c r="AG41" s="21"/>
      <c r="AH41" s="21"/>
      <c r="AI41" s="21"/>
      <c r="AJ41" s="21"/>
      <c r="AK41" s="21"/>
      <c r="AL41" s="19"/>
      <c r="AM41" s="21"/>
      <c r="AN41" s="21"/>
      <c r="AO41" s="21"/>
      <c r="AP41" s="21"/>
      <c r="AQ41" s="21"/>
      <c r="AR41" s="21"/>
      <c r="AS41" s="21"/>
    </row>
    <row r="42" spans="1:86">
      <c r="A42" s="22"/>
      <c r="C42" s="23" t="s">
        <v>40</v>
      </c>
      <c r="D42" s="17" t="s">
        <v>32</v>
      </c>
      <c r="E42" s="24">
        <v>541813.75135728228</v>
      </c>
      <c r="F42" s="24">
        <v>560565.87525570416</v>
      </c>
      <c r="G42" s="24">
        <v>568753.13938735577</v>
      </c>
      <c r="H42" s="24">
        <v>577113.91607186873</v>
      </c>
      <c r="I42" s="24">
        <v>585408.40276887605</v>
      </c>
      <c r="J42" s="24">
        <v>588135.34964702628</v>
      </c>
      <c r="L42" s="23" t="s">
        <v>40</v>
      </c>
      <c r="M42" s="17" t="s">
        <v>32</v>
      </c>
      <c r="N42" s="24">
        <v>107179.77455569382</v>
      </c>
      <c r="O42" s="24">
        <v>110081.75185982072</v>
      </c>
      <c r="P42" s="24">
        <v>109797.33819962948</v>
      </c>
      <c r="Q42" s="24">
        <v>115118.75774705045</v>
      </c>
      <c r="R42" s="24">
        <v>116053.3672386423</v>
      </c>
      <c r="S42" s="24">
        <v>118318.21102323702</v>
      </c>
      <c r="U42" s="23" t="s">
        <v>40</v>
      </c>
      <c r="V42" s="17" t="s">
        <v>32</v>
      </c>
      <c r="W42" s="24">
        <f>SUM(W34:W41)</f>
        <v>648993.52591297624</v>
      </c>
      <c r="X42" s="24">
        <f t="shared" ref="X42:AB42" si="16">SUM(X34:X41)</f>
        <v>670647.62711552496</v>
      </c>
      <c r="Y42" s="24">
        <f t="shared" si="16"/>
        <v>678550.47758698522</v>
      </c>
      <c r="Z42" s="24">
        <f t="shared" si="16"/>
        <v>692232.67381891923</v>
      </c>
      <c r="AA42" s="24">
        <f t="shared" si="16"/>
        <v>701461.77000751847</v>
      </c>
      <c r="AB42" s="24">
        <f t="shared" si="16"/>
        <v>706453.56067026325</v>
      </c>
      <c r="AC42" s="25"/>
      <c r="AD42" s="26"/>
      <c r="AE42" s="15"/>
      <c r="AF42" s="27"/>
      <c r="AG42" s="27"/>
      <c r="AH42" s="27"/>
      <c r="AI42" s="27"/>
      <c r="AJ42" s="27"/>
      <c r="AK42" s="27"/>
      <c r="AL42" s="25"/>
      <c r="AM42" s="27"/>
      <c r="AN42" s="27"/>
      <c r="AO42" s="27"/>
      <c r="AP42" s="27"/>
      <c r="AQ42" s="27"/>
      <c r="AR42" s="27"/>
      <c r="AS42" s="27"/>
    </row>
    <row r="44" spans="1:86">
      <c r="C44" s="9" t="s">
        <v>15</v>
      </c>
      <c r="D44" s="9"/>
      <c r="E44" s="9"/>
      <c r="F44" s="9"/>
      <c r="G44" s="9"/>
      <c r="H44" s="9"/>
      <c r="I44" s="9"/>
      <c r="J44" s="9"/>
      <c r="L44" s="9" t="s">
        <v>15</v>
      </c>
      <c r="M44" s="9"/>
      <c r="N44" s="9"/>
      <c r="O44" s="9"/>
      <c r="P44" s="9"/>
      <c r="Q44" s="9"/>
      <c r="R44" s="9"/>
      <c r="S44" s="9"/>
      <c r="U44" s="9" t="s">
        <v>15</v>
      </c>
      <c r="V44" s="9"/>
      <c r="W44" s="9"/>
      <c r="X44" s="9"/>
      <c r="Y44" s="9"/>
      <c r="Z44" s="9"/>
      <c r="AA44" s="9"/>
      <c r="AB44" s="9"/>
      <c r="AC44" s="8"/>
      <c r="AD44" s="10"/>
      <c r="AE44" s="10"/>
      <c r="AF44" s="10"/>
      <c r="AG44" s="10"/>
      <c r="AH44" s="10"/>
      <c r="AI44" s="10"/>
      <c r="AJ44" s="10"/>
      <c r="AK44" s="10"/>
      <c r="AL44" s="8"/>
      <c r="AM44" s="10"/>
      <c r="AN44" s="10"/>
      <c r="AO44" s="10"/>
      <c r="AP44" s="10"/>
      <c r="AQ44" s="10"/>
      <c r="AR44" s="10"/>
      <c r="AS44" s="10"/>
    </row>
    <row r="45" spans="1:86" s="15" customFormat="1">
      <c r="A45" s="11"/>
      <c r="B45" s="11"/>
      <c r="C45" s="60"/>
      <c r="D45" s="60" t="s">
        <v>11</v>
      </c>
      <c r="E45" s="61">
        <v>2020</v>
      </c>
      <c r="F45" s="61">
        <v>2021</v>
      </c>
      <c r="G45" s="61">
        <v>2022</v>
      </c>
      <c r="H45" s="61">
        <v>2023</v>
      </c>
      <c r="I45" s="61">
        <v>2024</v>
      </c>
      <c r="J45" s="61">
        <v>2025</v>
      </c>
      <c r="K45" s="11"/>
      <c r="L45" s="60"/>
      <c r="M45" s="60" t="s">
        <v>11</v>
      </c>
      <c r="N45" s="61">
        <v>2020</v>
      </c>
      <c r="O45" s="61">
        <v>2021</v>
      </c>
      <c r="P45" s="61">
        <v>2022</v>
      </c>
      <c r="Q45" s="61">
        <v>2023</v>
      </c>
      <c r="R45" s="61">
        <v>2024</v>
      </c>
      <c r="S45" s="61">
        <v>2025</v>
      </c>
      <c r="T45" s="11"/>
      <c r="U45" s="60"/>
      <c r="V45" s="60" t="s">
        <v>11</v>
      </c>
      <c r="W45" s="61">
        <v>2020</v>
      </c>
      <c r="X45" s="61">
        <v>2021</v>
      </c>
      <c r="Y45" s="61">
        <v>2022</v>
      </c>
      <c r="Z45" s="61">
        <v>2023</v>
      </c>
      <c r="AA45" s="61">
        <v>2024</v>
      </c>
      <c r="AB45" s="61">
        <v>2025</v>
      </c>
      <c r="AC45" s="12"/>
      <c r="AD45" s="11"/>
      <c r="AE45" s="11"/>
      <c r="AF45" s="13"/>
      <c r="AG45" s="13"/>
      <c r="AH45" s="13"/>
      <c r="AI45" s="13"/>
      <c r="AJ45" s="13"/>
      <c r="AK45" s="13"/>
      <c r="AL45" s="12"/>
      <c r="AM45" s="13"/>
      <c r="AN45" s="13"/>
      <c r="AO45" s="13"/>
      <c r="AP45" s="13"/>
      <c r="AQ45" s="13"/>
      <c r="AR45" s="13"/>
      <c r="AS45" s="13"/>
      <c r="AT45" s="11"/>
      <c r="AU45" s="11"/>
      <c r="AV45" s="11"/>
      <c r="AW45" s="11"/>
      <c r="AX45" s="11"/>
      <c r="AY45" s="11"/>
      <c r="AZ45" s="11"/>
      <c r="BA45" s="11"/>
      <c r="BB45" s="11"/>
      <c r="BC45" s="11"/>
      <c r="BD45" s="14"/>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row>
    <row r="46" spans="1:86">
      <c r="A46" s="11"/>
      <c r="B46" s="11"/>
      <c r="C46" s="16" t="s">
        <v>31</v>
      </c>
      <c r="D46" s="17" t="s">
        <v>32</v>
      </c>
      <c r="E46" s="18">
        <v>2880.9740828156669</v>
      </c>
      <c r="F46" s="18">
        <v>2909.8213585018025</v>
      </c>
      <c r="G46" s="18">
        <v>2972.8610565895724</v>
      </c>
      <c r="H46" s="18">
        <v>3100.9292053221875</v>
      </c>
      <c r="I46" s="18">
        <v>3170.6134181842999</v>
      </c>
      <c r="J46" s="18">
        <v>3387.1082742180392</v>
      </c>
      <c r="K46" s="11"/>
      <c r="L46" s="16" t="s">
        <v>31</v>
      </c>
      <c r="M46" s="17" t="s">
        <v>32</v>
      </c>
      <c r="N46" s="18">
        <v>3921.9517411512634</v>
      </c>
      <c r="O46" s="18">
        <v>3918.3226721262167</v>
      </c>
      <c r="P46" s="18">
        <v>3614.3789253169102</v>
      </c>
      <c r="Q46" s="18">
        <v>3640.987833600364</v>
      </c>
      <c r="R46" s="18">
        <v>3331.1181597432287</v>
      </c>
      <c r="S46" s="18">
        <v>3242.8939876730765</v>
      </c>
      <c r="T46" s="11"/>
      <c r="U46" s="16" t="s">
        <v>31</v>
      </c>
      <c r="V46" s="17" t="s">
        <v>32</v>
      </c>
      <c r="W46" s="18">
        <f>E46+N46</f>
        <v>6802.9258239669307</v>
      </c>
      <c r="X46" s="18">
        <f t="shared" ref="X46:X53" si="17">F46+O46</f>
        <v>6828.1440306280192</v>
      </c>
      <c r="Y46" s="18">
        <f t="shared" ref="Y46:Y53" si="18">G46+P46</f>
        <v>6587.2399819064831</v>
      </c>
      <c r="Z46" s="18">
        <f t="shared" ref="Z46:Z53" si="19">H46+Q46</f>
        <v>6741.917038922551</v>
      </c>
      <c r="AA46" s="18">
        <f t="shared" ref="AA46:AA53" si="20">I46+R46</f>
        <v>6501.7315779275286</v>
      </c>
      <c r="AB46" s="18">
        <f t="shared" ref="AB46:AB53" si="21">J46+S46</f>
        <v>6630.0022618911153</v>
      </c>
      <c r="AC46" s="19"/>
      <c r="AD46" s="20"/>
      <c r="AE46" s="15"/>
      <c r="AF46" s="21"/>
      <c r="AG46" s="21"/>
      <c r="AH46" s="21"/>
      <c r="AI46" s="21"/>
      <c r="AJ46" s="21"/>
      <c r="AK46" s="21"/>
      <c r="AL46" s="19"/>
      <c r="AM46" s="21"/>
      <c r="AN46" s="21"/>
      <c r="AO46" s="21"/>
      <c r="AP46" s="21"/>
      <c r="AQ46" s="21"/>
      <c r="AR46" s="21"/>
      <c r="AS46" s="21"/>
      <c r="AT46" s="11"/>
      <c r="AU46" s="11"/>
      <c r="AV46" s="11"/>
      <c r="AW46" s="11"/>
      <c r="AX46" s="11"/>
      <c r="AY46" s="11"/>
      <c r="AZ46" s="11"/>
      <c r="BA46" s="11"/>
      <c r="BB46" s="11"/>
      <c r="BC46" s="11"/>
      <c r="BD46" s="14"/>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row>
    <row r="47" spans="1:86">
      <c r="C47" s="16" t="s">
        <v>33</v>
      </c>
      <c r="D47" s="17" t="s">
        <v>32</v>
      </c>
      <c r="E47" s="18">
        <v>1116.1225926750044</v>
      </c>
      <c r="F47" s="18">
        <v>1285.2705736782998</v>
      </c>
      <c r="G47" s="18">
        <v>1557.9701014931907</v>
      </c>
      <c r="H47" s="18">
        <v>1737.8734424478853</v>
      </c>
      <c r="I47" s="18">
        <v>1737.0662743808343</v>
      </c>
      <c r="J47" s="18">
        <v>1685.2924405560966</v>
      </c>
      <c r="L47" s="16" t="s">
        <v>33</v>
      </c>
      <c r="M47" s="17" t="s">
        <v>32</v>
      </c>
      <c r="N47" s="18">
        <v>8582.5423955988899</v>
      </c>
      <c r="O47" s="18">
        <v>8868.47579899431</v>
      </c>
      <c r="P47" s="18">
        <v>9890.588162573893</v>
      </c>
      <c r="Q47" s="18">
        <v>10291.228625957021</v>
      </c>
      <c r="R47" s="18">
        <v>10310.997241201869</v>
      </c>
      <c r="S47" s="18">
        <v>10500.980833849277</v>
      </c>
      <c r="U47" s="16" t="s">
        <v>33</v>
      </c>
      <c r="V47" s="17" t="s">
        <v>32</v>
      </c>
      <c r="W47" s="18">
        <f t="shared" ref="W47:W53" si="22">E47+N47</f>
        <v>9698.6649882738948</v>
      </c>
      <c r="X47" s="18">
        <f t="shared" si="17"/>
        <v>10153.746372672609</v>
      </c>
      <c r="Y47" s="18">
        <f t="shared" si="18"/>
        <v>11448.558264067084</v>
      </c>
      <c r="Z47" s="18">
        <f t="shared" si="19"/>
        <v>12029.102068404907</v>
      </c>
      <c r="AA47" s="18">
        <f t="shared" si="20"/>
        <v>12048.063515582704</v>
      </c>
      <c r="AB47" s="18">
        <f t="shared" si="21"/>
        <v>12186.273274405374</v>
      </c>
      <c r="AC47" s="19"/>
      <c r="AD47" s="20"/>
      <c r="AE47" s="15"/>
      <c r="AF47" s="21"/>
      <c r="AG47" s="21"/>
      <c r="AH47" s="21"/>
      <c r="AI47" s="21"/>
      <c r="AJ47" s="21"/>
      <c r="AK47" s="21"/>
      <c r="AL47" s="19"/>
      <c r="AM47" s="21"/>
      <c r="AN47" s="21"/>
      <c r="AO47" s="21"/>
      <c r="AP47" s="21"/>
      <c r="AQ47" s="21"/>
      <c r="AR47" s="21"/>
      <c r="AS47" s="21"/>
    </row>
    <row r="48" spans="1:86">
      <c r="C48" s="16" t="s">
        <v>34</v>
      </c>
      <c r="D48" s="17" t="s">
        <v>32</v>
      </c>
      <c r="E48" s="18">
        <v>6829.6764886530163</v>
      </c>
      <c r="F48" s="18">
        <v>7490.1842585319428</v>
      </c>
      <c r="G48" s="18">
        <v>7823.0429359200125</v>
      </c>
      <c r="H48" s="18">
        <v>8039.4133337911089</v>
      </c>
      <c r="I48" s="18">
        <v>7742.1238047879624</v>
      </c>
      <c r="J48" s="18">
        <v>7708.4149518306403</v>
      </c>
      <c r="L48" s="16" t="s">
        <v>34</v>
      </c>
      <c r="M48" s="17" t="s">
        <v>32</v>
      </c>
      <c r="N48" s="18">
        <v>11161.732436353364</v>
      </c>
      <c r="O48" s="18">
        <v>11518.90774249897</v>
      </c>
      <c r="P48" s="18">
        <v>10396.953412697932</v>
      </c>
      <c r="Q48" s="18">
        <v>8948.4571848502674</v>
      </c>
      <c r="R48" s="18">
        <v>6927.3196061241188</v>
      </c>
      <c r="S48" s="18">
        <v>5554.3315612984234</v>
      </c>
      <c r="U48" s="16" t="s">
        <v>34</v>
      </c>
      <c r="V48" s="17" t="s">
        <v>32</v>
      </c>
      <c r="W48" s="18">
        <f t="shared" si="22"/>
        <v>17991.408925006381</v>
      </c>
      <c r="X48" s="18">
        <f t="shared" si="17"/>
        <v>19009.092001030913</v>
      </c>
      <c r="Y48" s="18">
        <f t="shared" si="18"/>
        <v>18219.996348617944</v>
      </c>
      <c r="Z48" s="18">
        <f t="shared" si="19"/>
        <v>16987.870518641375</v>
      </c>
      <c r="AA48" s="18">
        <f t="shared" si="20"/>
        <v>14669.443410912081</v>
      </c>
      <c r="AB48" s="18">
        <f t="shared" si="21"/>
        <v>13262.746513129063</v>
      </c>
      <c r="AC48" s="19"/>
      <c r="AD48" s="28"/>
      <c r="AE48" s="15"/>
      <c r="AF48" s="21"/>
      <c r="AG48" s="21"/>
      <c r="AH48" s="21"/>
      <c r="AI48" s="21"/>
      <c r="AJ48" s="21"/>
      <c r="AK48" s="21"/>
      <c r="AL48" s="19"/>
      <c r="AM48" s="21"/>
      <c r="AN48" s="21"/>
      <c r="AO48" s="21"/>
      <c r="AP48" s="21"/>
      <c r="AQ48" s="21"/>
      <c r="AR48" s="21"/>
      <c r="AS48" s="21"/>
    </row>
    <row r="49" spans="1:86">
      <c r="C49" s="16" t="s">
        <v>35</v>
      </c>
      <c r="D49" s="17" t="s">
        <v>32</v>
      </c>
      <c r="E49" s="18">
        <v>4826.4181087686002</v>
      </c>
      <c r="F49" s="18">
        <v>4400.2350838599014</v>
      </c>
      <c r="G49" s="18">
        <v>5148.3780500206803</v>
      </c>
      <c r="H49" s="18">
        <v>4788.3989984200271</v>
      </c>
      <c r="I49" s="18">
        <v>5003.6516412526935</v>
      </c>
      <c r="J49" s="18">
        <v>5731.2705015608735</v>
      </c>
      <c r="L49" s="16" t="s">
        <v>35</v>
      </c>
      <c r="M49" s="17" t="s">
        <v>32</v>
      </c>
      <c r="N49" s="18">
        <v>9686.3328078695304</v>
      </c>
      <c r="O49" s="18">
        <v>9269.7203068207473</v>
      </c>
      <c r="P49" s="18">
        <v>9559.5117450428625</v>
      </c>
      <c r="Q49" s="18">
        <v>8587.3528006161196</v>
      </c>
      <c r="R49" s="18">
        <v>9051.5432178579249</v>
      </c>
      <c r="S49" s="18">
        <v>8626.0559449047378</v>
      </c>
      <c r="U49" s="16" t="s">
        <v>35</v>
      </c>
      <c r="V49" s="17" t="s">
        <v>32</v>
      </c>
      <c r="W49" s="18">
        <f t="shared" si="22"/>
        <v>14512.750916638131</v>
      </c>
      <c r="X49" s="18">
        <f t="shared" si="17"/>
        <v>13669.955390680649</v>
      </c>
      <c r="Y49" s="18">
        <f t="shared" si="18"/>
        <v>14707.889795063544</v>
      </c>
      <c r="Z49" s="18">
        <f t="shared" si="19"/>
        <v>13375.751799036147</v>
      </c>
      <c r="AA49" s="18">
        <f t="shared" si="20"/>
        <v>14055.194859110619</v>
      </c>
      <c r="AB49" s="18">
        <f t="shared" si="21"/>
        <v>14357.326446465611</v>
      </c>
      <c r="AC49" s="19"/>
      <c r="AD49" s="20"/>
      <c r="AE49" s="15"/>
      <c r="AF49" s="21"/>
      <c r="AG49" s="21"/>
      <c r="AH49" s="21"/>
      <c r="AI49" s="21"/>
      <c r="AJ49" s="21"/>
      <c r="AK49" s="21"/>
      <c r="AL49" s="19"/>
      <c r="AM49" s="21"/>
      <c r="AN49" s="21"/>
      <c r="AO49" s="21"/>
      <c r="AP49" s="21"/>
      <c r="AQ49" s="21"/>
      <c r="AR49" s="21"/>
      <c r="AS49" s="21"/>
    </row>
    <row r="50" spans="1:86">
      <c r="C50" s="16" t="s">
        <v>36</v>
      </c>
      <c r="D50" s="17" t="s">
        <v>32</v>
      </c>
      <c r="E50" s="18">
        <v>1203.9062970645668</v>
      </c>
      <c r="F50" s="18">
        <v>1180.999812231908</v>
      </c>
      <c r="G50" s="18">
        <v>1430.5101083436402</v>
      </c>
      <c r="H50" s="18">
        <v>1704.238310151708</v>
      </c>
      <c r="I50" s="18">
        <v>2256.9942713086052</v>
      </c>
      <c r="J50" s="18">
        <v>2165.2197034825404</v>
      </c>
      <c r="L50" s="16" t="s">
        <v>36</v>
      </c>
      <c r="M50" s="17" t="s">
        <v>32</v>
      </c>
      <c r="N50" s="18">
        <v>3146.957751605154</v>
      </c>
      <c r="O50" s="18">
        <v>2993.0727874467448</v>
      </c>
      <c r="P50" s="18">
        <v>3249.271663778904</v>
      </c>
      <c r="Q50" s="18">
        <v>3105.3706357030942</v>
      </c>
      <c r="R50" s="18">
        <v>3383.5878784678362</v>
      </c>
      <c r="S50" s="18">
        <v>3648.0585304300334</v>
      </c>
      <c r="U50" s="16" t="s">
        <v>36</v>
      </c>
      <c r="V50" s="17" t="s">
        <v>32</v>
      </c>
      <c r="W50" s="18">
        <f t="shared" si="22"/>
        <v>4350.8640486697204</v>
      </c>
      <c r="X50" s="18">
        <f t="shared" si="17"/>
        <v>4174.0725996786532</v>
      </c>
      <c r="Y50" s="18">
        <f t="shared" si="18"/>
        <v>4679.7817721225438</v>
      </c>
      <c r="Z50" s="18">
        <f t="shared" si="19"/>
        <v>4809.6089458548022</v>
      </c>
      <c r="AA50" s="18">
        <f t="shared" si="20"/>
        <v>5640.5821497764409</v>
      </c>
      <c r="AB50" s="18">
        <f t="shared" si="21"/>
        <v>5813.2782339125733</v>
      </c>
      <c r="AC50" s="19"/>
      <c r="AD50" s="20"/>
      <c r="AE50" s="15"/>
      <c r="AF50" s="21"/>
      <c r="AG50" s="21"/>
      <c r="AH50" s="21"/>
      <c r="AI50" s="21"/>
      <c r="AJ50" s="21"/>
      <c r="AK50" s="21"/>
      <c r="AL50" s="19"/>
      <c r="AM50" s="21"/>
      <c r="AN50" s="21"/>
      <c r="AO50" s="21"/>
      <c r="AP50" s="21"/>
      <c r="AQ50" s="21"/>
      <c r="AR50" s="21"/>
      <c r="AS50" s="21"/>
    </row>
    <row r="51" spans="1:86">
      <c r="C51" s="16" t="s">
        <v>37</v>
      </c>
      <c r="D51" s="17" t="s">
        <v>32</v>
      </c>
      <c r="E51" s="18">
        <v>595.34296005806527</v>
      </c>
      <c r="F51" s="18">
        <v>601.51631326711481</v>
      </c>
      <c r="G51" s="18">
        <v>563.38227548354348</v>
      </c>
      <c r="H51" s="18">
        <v>597.89242638037888</v>
      </c>
      <c r="I51" s="18">
        <v>582.27862448417704</v>
      </c>
      <c r="J51" s="18">
        <v>626.63903562652831</v>
      </c>
      <c r="L51" s="16" t="s">
        <v>37</v>
      </c>
      <c r="M51" s="17" t="s">
        <v>32</v>
      </c>
      <c r="N51" s="18">
        <v>4845.6261198023149</v>
      </c>
      <c r="O51" s="18">
        <v>3885.0675614898346</v>
      </c>
      <c r="P51" s="18">
        <v>4142.8127874718539</v>
      </c>
      <c r="Q51" s="18">
        <v>4471.0462750041606</v>
      </c>
      <c r="R51" s="18">
        <v>4053.7436803643072</v>
      </c>
      <c r="S51" s="18">
        <v>4058.6967599614418</v>
      </c>
      <c r="U51" s="16" t="s">
        <v>37</v>
      </c>
      <c r="V51" s="17" t="s">
        <v>32</v>
      </c>
      <c r="W51" s="18">
        <f t="shared" si="22"/>
        <v>5440.9690798603806</v>
      </c>
      <c r="X51" s="18">
        <f t="shared" si="17"/>
        <v>4486.5838747569496</v>
      </c>
      <c r="Y51" s="18">
        <f t="shared" si="18"/>
        <v>4706.1950629553976</v>
      </c>
      <c r="Z51" s="18">
        <f t="shared" si="19"/>
        <v>5068.9387013845399</v>
      </c>
      <c r="AA51" s="18">
        <f t="shared" si="20"/>
        <v>4636.0223048484841</v>
      </c>
      <c r="AB51" s="18">
        <f t="shared" si="21"/>
        <v>4685.3357955879701</v>
      </c>
      <c r="AC51" s="19"/>
      <c r="AD51" s="20"/>
      <c r="AE51" s="15"/>
      <c r="AF51" s="21"/>
      <c r="AG51" s="21"/>
      <c r="AH51" s="21"/>
      <c r="AI51" s="21"/>
      <c r="AJ51" s="21"/>
      <c r="AK51" s="21"/>
      <c r="AL51" s="19"/>
      <c r="AM51" s="21"/>
      <c r="AN51" s="21"/>
      <c r="AO51" s="21"/>
      <c r="AP51" s="21"/>
      <c r="AQ51" s="21"/>
      <c r="AR51" s="21"/>
      <c r="AS51" s="21"/>
    </row>
    <row r="52" spans="1:86">
      <c r="C52" s="16" t="s">
        <v>38</v>
      </c>
      <c r="D52" s="17" t="s">
        <v>32</v>
      </c>
      <c r="E52" s="18">
        <v>1147.1227900239905</v>
      </c>
      <c r="F52" s="18">
        <v>1146.3900241337853</v>
      </c>
      <c r="G52" s="18">
        <v>1180.1046266559742</v>
      </c>
      <c r="H52" s="18">
        <v>1161.9906675483928</v>
      </c>
      <c r="I52" s="18">
        <v>1093.3361077557661</v>
      </c>
      <c r="J52" s="18">
        <v>910.99623180766753</v>
      </c>
      <c r="L52" s="16" t="s">
        <v>38</v>
      </c>
      <c r="M52" s="17" t="s">
        <v>32</v>
      </c>
      <c r="N52" s="18">
        <v>3576.5917040755689</v>
      </c>
      <c r="O52" s="18">
        <v>3496.2040072970613</v>
      </c>
      <c r="P52" s="18">
        <v>3405.6320972402186</v>
      </c>
      <c r="Q52" s="18">
        <v>3131.0277244500253</v>
      </c>
      <c r="R52" s="18">
        <v>2685.4580289506416</v>
      </c>
      <c r="S52" s="18">
        <v>2344.7044069886501</v>
      </c>
      <c r="U52" s="16" t="s">
        <v>38</v>
      </c>
      <c r="V52" s="17" t="s">
        <v>32</v>
      </c>
      <c r="W52" s="18">
        <f t="shared" si="22"/>
        <v>4723.7144940995595</v>
      </c>
      <c r="X52" s="18">
        <f t="shared" si="17"/>
        <v>4642.5940314308464</v>
      </c>
      <c r="Y52" s="18">
        <f t="shared" si="18"/>
        <v>4585.7367238961924</v>
      </c>
      <c r="Z52" s="18">
        <f t="shared" si="19"/>
        <v>4293.0183919984183</v>
      </c>
      <c r="AA52" s="18">
        <f t="shared" si="20"/>
        <v>3778.7941367064077</v>
      </c>
      <c r="AB52" s="18">
        <f t="shared" si="21"/>
        <v>3255.7006387963174</v>
      </c>
      <c r="AC52" s="19"/>
      <c r="AD52" s="20"/>
      <c r="AE52" s="15"/>
      <c r="AF52" s="21"/>
      <c r="AG52" s="21"/>
      <c r="AH52" s="21"/>
      <c r="AI52" s="21"/>
      <c r="AJ52" s="21"/>
      <c r="AK52" s="21"/>
      <c r="AL52" s="19"/>
      <c r="AM52" s="21"/>
      <c r="AN52" s="21"/>
      <c r="AO52" s="21"/>
      <c r="AP52" s="21"/>
      <c r="AQ52" s="21"/>
      <c r="AR52" s="21"/>
      <c r="AS52" s="21"/>
    </row>
    <row r="53" spans="1:86">
      <c r="C53" s="16" t="s">
        <v>39</v>
      </c>
      <c r="D53" s="17" t="s">
        <v>32</v>
      </c>
      <c r="E53" s="18">
        <v>433.4025412184572</v>
      </c>
      <c r="F53" s="18">
        <v>465.89607746707185</v>
      </c>
      <c r="G53" s="18">
        <v>483.61302373343875</v>
      </c>
      <c r="H53" s="18">
        <v>502.34840831912373</v>
      </c>
      <c r="I53" s="18">
        <v>542.39327710569319</v>
      </c>
      <c r="J53" s="18">
        <v>616.95164462635489</v>
      </c>
      <c r="L53" s="16" t="s">
        <v>39</v>
      </c>
      <c r="M53" s="17" t="s">
        <v>32</v>
      </c>
      <c r="N53" s="18">
        <v>803.7768221794114</v>
      </c>
      <c r="O53" s="18">
        <v>820.09198842878163</v>
      </c>
      <c r="P53" s="18">
        <v>794.93095691226893</v>
      </c>
      <c r="Q53" s="18">
        <v>818.48717056488113</v>
      </c>
      <c r="R53" s="18">
        <v>863.84034903688405</v>
      </c>
      <c r="S53" s="18">
        <v>1003.6959952826737</v>
      </c>
      <c r="U53" s="16" t="s">
        <v>39</v>
      </c>
      <c r="V53" s="17" t="s">
        <v>32</v>
      </c>
      <c r="W53" s="18">
        <f t="shared" si="22"/>
        <v>1237.1793633978687</v>
      </c>
      <c r="X53" s="18">
        <f t="shared" si="17"/>
        <v>1285.9880658958534</v>
      </c>
      <c r="Y53" s="18">
        <f t="shared" si="18"/>
        <v>1278.5439806457077</v>
      </c>
      <c r="Z53" s="18">
        <f t="shared" si="19"/>
        <v>1320.8355788840049</v>
      </c>
      <c r="AA53" s="18">
        <f t="shared" si="20"/>
        <v>1406.2336261425771</v>
      </c>
      <c r="AB53" s="18">
        <f t="shared" si="21"/>
        <v>1620.6476399090286</v>
      </c>
      <c r="AC53" s="19"/>
      <c r="AD53" s="20"/>
      <c r="AE53" s="15"/>
      <c r="AF53" s="21"/>
      <c r="AG53" s="21"/>
      <c r="AH53" s="21"/>
      <c r="AI53" s="21"/>
      <c r="AJ53" s="21"/>
      <c r="AK53" s="21"/>
      <c r="AL53" s="19"/>
      <c r="AM53" s="21"/>
      <c r="AN53" s="21"/>
      <c r="AO53" s="21"/>
      <c r="AP53" s="21"/>
      <c r="AQ53" s="21"/>
      <c r="AR53" s="21"/>
      <c r="AS53" s="21"/>
    </row>
    <row r="54" spans="1:86">
      <c r="A54" s="22"/>
      <c r="C54" s="23" t="s">
        <v>40</v>
      </c>
      <c r="D54" s="17" t="s">
        <v>32</v>
      </c>
      <c r="E54" s="24">
        <v>19032.965861277367</v>
      </c>
      <c r="F54" s="24">
        <v>19480.313501671826</v>
      </c>
      <c r="G54" s="24">
        <v>21159.862178240051</v>
      </c>
      <c r="H54" s="24">
        <v>21633.084792380814</v>
      </c>
      <c r="I54" s="24">
        <v>22128.457419260034</v>
      </c>
      <c r="J54" s="24">
        <v>22831.892783708743</v>
      </c>
      <c r="L54" s="23" t="s">
        <v>40</v>
      </c>
      <c r="M54" s="17" t="s">
        <v>32</v>
      </c>
      <c r="N54" s="24">
        <v>45725.511778635489</v>
      </c>
      <c r="O54" s="24">
        <v>44769.862865102667</v>
      </c>
      <c r="P54" s="24">
        <v>45054.079751034849</v>
      </c>
      <c r="Q54" s="24">
        <v>42993.958250745942</v>
      </c>
      <c r="R54" s="24">
        <v>40607.608161746815</v>
      </c>
      <c r="S54" s="24">
        <v>38979.418020388308</v>
      </c>
      <c r="U54" s="23" t="s">
        <v>40</v>
      </c>
      <c r="V54" s="17" t="s">
        <v>32</v>
      </c>
      <c r="W54" s="24">
        <f>SUM(W46:W53)</f>
        <v>64758.477639912853</v>
      </c>
      <c r="X54" s="24">
        <f t="shared" ref="X54:AB54" si="23">SUM(X46:X53)</f>
        <v>64250.176366774496</v>
      </c>
      <c r="Y54" s="24">
        <f t="shared" si="23"/>
        <v>66213.941929274908</v>
      </c>
      <c r="Z54" s="24">
        <f t="shared" si="23"/>
        <v>64627.043043126745</v>
      </c>
      <c r="AA54" s="24">
        <f t="shared" si="23"/>
        <v>62736.065581006842</v>
      </c>
      <c r="AB54" s="24">
        <f t="shared" si="23"/>
        <v>61811.310804097062</v>
      </c>
      <c r="AC54" s="25"/>
      <c r="AD54" s="26"/>
      <c r="AE54" s="15"/>
      <c r="AF54" s="27"/>
      <c r="AG54" s="27"/>
      <c r="AH54" s="27"/>
      <c r="AI54" s="27"/>
      <c r="AJ54" s="27"/>
      <c r="AK54" s="27"/>
      <c r="AL54" s="25"/>
      <c r="AM54" s="27"/>
      <c r="AN54" s="27"/>
      <c r="AO54" s="27"/>
      <c r="AP54" s="27"/>
      <c r="AQ54" s="27"/>
      <c r="AR54" s="27"/>
      <c r="AS54" s="27"/>
    </row>
    <row r="56" spans="1:86">
      <c r="C56" s="9" t="s">
        <v>16</v>
      </c>
      <c r="D56" s="9"/>
      <c r="E56" s="9"/>
      <c r="F56" s="9"/>
      <c r="G56" s="9"/>
      <c r="H56" s="9"/>
      <c r="I56" s="9"/>
      <c r="J56" s="9"/>
      <c r="L56" s="9" t="s">
        <v>16</v>
      </c>
      <c r="M56" s="9"/>
      <c r="N56" s="9"/>
      <c r="O56" s="9"/>
      <c r="P56" s="9"/>
      <c r="Q56" s="9"/>
      <c r="R56" s="9"/>
      <c r="S56" s="9"/>
      <c r="U56" s="9" t="s">
        <v>16</v>
      </c>
      <c r="V56" s="9"/>
      <c r="W56" s="9"/>
      <c r="X56" s="9"/>
      <c r="Y56" s="9"/>
      <c r="Z56" s="9"/>
      <c r="AA56" s="9"/>
      <c r="AB56" s="9"/>
      <c r="AC56" s="8"/>
      <c r="AD56" s="10"/>
      <c r="AE56" s="10"/>
      <c r="AF56" s="10"/>
      <c r="AG56" s="10"/>
      <c r="AH56" s="10"/>
      <c r="AI56" s="10"/>
      <c r="AJ56" s="10"/>
      <c r="AK56" s="10"/>
      <c r="AL56" s="8"/>
      <c r="AM56" s="10"/>
      <c r="AN56" s="10"/>
      <c r="AO56" s="10"/>
      <c r="AP56" s="10"/>
      <c r="AQ56" s="10"/>
      <c r="AR56" s="10"/>
      <c r="AS56" s="10"/>
    </row>
    <row r="57" spans="1:86" s="15" customFormat="1">
      <c r="A57" s="11"/>
      <c r="B57" s="11"/>
      <c r="C57" s="60"/>
      <c r="D57" s="60" t="s">
        <v>11</v>
      </c>
      <c r="E57" s="61">
        <v>2020</v>
      </c>
      <c r="F57" s="61">
        <v>2021</v>
      </c>
      <c r="G57" s="61">
        <v>2022</v>
      </c>
      <c r="H57" s="61">
        <v>2023</v>
      </c>
      <c r="I57" s="61">
        <v>2024</v>
      </c>
      <c r="J57" s="61">
        <v>2025</v>
      </c>
      <c r="K57" s="11"/>
      <c r="L57" s="60"/>
      <c r="M57" s="60" t="s">
        <v>11</v>
      </c>
      <c r="N57" s="61">
        <v>2020</v>
      </c>
      <c r="O57" s="61">
        <v>2021</v>
      </c>
      <c r="P57" s="61">
        <v>2022</v>
      </c>
      <c r="Q57" s="61">
        <v>2023</v>
      </c>
      <c r="R57" s="61">
        <v>2024</v>
      </c>
      <c r="S57" s="61">
        <v>2025</v>
      </c>
      <c r="T57" s="11"/>
      <c r="U57" s="60"/>
      <c r="V57" s="60" t="s">
        <v>11</v>
      </c>
      <c r="W57" s="61">
        <v>2020</v>
      </c>
      <c r="X57" s="61">
        <v>2021</v>
      </c>
      <c r="Y57" s="61">
        <v>2022</v>
      </c>
      <c r="Z57" s="61">
        <v>2023</v>
      </c>
      <c r="AA57" s="61">
        <v>2024</v>
      </c>
      <c r="AB57" s="61">
        <v>2025</v>
      </c>
      <c r="AC57" s="12"/>
      <c r="AD57" s="11"/>
      <c r="AE57" s="11"/>
      <c r="AF57" s="13"/>
      <c r="AG57" s="13"/>
      <c r="AH57" s="13"/>
      <c r="AI57" s="13"/>
      <c r="AJ57" s="13"/>
      <c r="AK57" s="13"/>
      <c r="AL57" s="12"/>
      <c r="AM57" s="13"/>
      <c r="AN57" s="13"/>
      <c r="AO57" s="13"/>
      <c r="AP57" s="13"/>
      <c r="AQ57" s="13"/>
      <c r="AR57" s="13"/>
      <c r="AS57" s="13"/>
      <c r="AT57" s="11"/>
      <c r="AU57" s="11"/>
      <c r="AV57" s="11"/>
      <c r="AW57" s="11"/>
      <c r="AX57" s="11"/>
      <c r="AY57" s="11"/>
      <c r="AZ57" s="11"/>
      <c r="BA57" s="11"/>
      <c r="BB57" s="11"/>
      <c r="BC57" s="11"/>
      <c r="BD57" s="14"/>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row>
    <row r="58" spans="1:86">
      <c r="A58" s="11"/>
      <c r="B58" s="11"/>
      <c r="C58" s="16" t="s">
        <v>31</v>
      </c>
      <c r="D58" s="17" t="s">
        <v>32</v>
      </c>
      <c r="E58" s="18">
        <v>394.22605430189316</v>
      </c>
      <c r="F58" s="18">
        <v>400.86580374942849</v>
      </c>
      <c r="G58" s="18">
        <v>425.98837557342642</v>
      </c>
      <c r="H58" s="18">
        <v>377.61107080605268</v>
      </c>
      <c r="I58" s="18">
        <v>442.97904933844745</v>
      </c>
      <c r="J58" s="18">
        <v>442.05269620861878</v>
      </c>
      <c r="K58" s="11"/>
      <c r="L58" s="16" t="s">
        <v>31</v>
      </c>
      <c r="M58" s="17" t="s">
        <v>32</v>
      </c>
      <c r="N58" s="18">
        <v>304.19781784244219</v>
      </c>
      <c r="O58" s="18">
        <v>312.98623658053958</v>
      </c>
      <c r="P58" s="18">
        <v>309.01843377068377</v>
      </c>
      <c r="Q58" s="18">
        <v>256.38048861873551</v>
      </c>
      <c r="R58" s="18">
        <v>285.61168040939594</v>
      </c>
      <c r="S58" s="18">
        <v>345.14395706124986</v>
      </c>
      <c r="T58" s="11"/>
      <c r="U58" s="16" t="s">
        <v>31</v>
      </c>
      <c r="V58" s="17" t="s">
        <v>32</v>
      </c>
      <c r="W58" s="18">
        <f>E58+N58</f>
        <v>698.42387214433529</v>
      </c>
      <c r="X58" s="18">
        <f t="shared" ref="X58:X65" si="24">F58+O58</f>
        <v>713.85204032996808</v>
      </c>
      <c r="Y58" s="18">
        <f t="shared" ref="Y58:Y65" si="25">G58+P58</f>
        <v>735.00680934411025</v>
      </c>
      <c r="Z58" s="18">
        <f t="shared" ref="Z58:Z65" si="26">H58+Q58</f>
        <v>633.99155942478819</v>
      </c>
      <c r="AA58" s="18">
        <f t="shared" ref="AA58:AA65" si="27">I58+R58</f>
        <v>728.5907297478434</v>
      </c>
      <c r="AB58" s="18">
        <f t="shared" ref="AB58:AB65" si="28">J58+S58</f>
        <v>787.19665326986865</v>
      </c>
      <c r="AC58" s="19"/>
      <c r="AD58" s="20"/>
      <c r="AE58" s="15"/>
      <c r="AF58" s="21"/>
      <c r="AG58" s="21"/>
      <c r="AH58" s="21"/>
      <c r="AI58" s="21"/>
      <c r="AJ58" s="21"/>
      <c r="AK58" s="21"/>
      <c r="AL58" s="19"/>
      <c r="AM58" s="21"/>
      <c r="AN58" s="21"/>
      <c r="AO58" s="21"/>
      <c r="AP58" s="21"/>
      <c r="AQ58" s="21"/>
      <c r="AR58" s="21"/>
      <c r="AS58" s="21"/>
      <c r="AT58" s="11"/>
      <c r="AU58" s="11"/>
      <c r="AV58" s="11"/>
      <c r="AW58" s="11"/>
      <c r="AX58" s="11"/>
      <c r="AY58" s="11"/>
      <c r="AZ58" s="11"/>
      <c r="BA58" s="11"/>
      <c r="BB58" s="11"/>
      <c r="BC58" s="11"/>
      <c r="BD58" s="14"/>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row>
    <row r="59" spans="1:86">
      <c r="C59" s="16" t="s">
        <v>33</v>
      </c>
      <c r="D59" s="17" t="s">
        <v>32</v>
      </c>
      <c r="E59" s="18">
        <v>440.97051995497475</v>
      </c>
      <c r="F59" s="18">
        <v>383.88876504805654</v>
      </c>
      <c r="G59" s="18">
        <v>425.64227424579173</v>
      </c>
      <c r="H59" s="18">
        <v>402.46709894159017</v>
      </c>
      <c r="I59" s="18">
        <v>408.58914343666027</v>
      </c>
      <c r="J59" s="18">
        <v>368.45148602197685</v>
      </c>
      <c r="L59" s="16" t="s">
        <v>33</v>
      </c>
      <c r="M59" s="17" t="s">
        <v>32</v>
      </c>
      <c r="N59" s="18">
        <v>477.21756961956453</v>
      </c>
      <c r="O59" s="18">
        <v>423.31201216810274</v>
      </c>
      <c r="P59" s="18">
        <v>450.64697229563848</v>
      </c>
      <c r="Q59" s="18">
        <v>423.25320502425632</v>
      </c>
      <c r="R59" s="18">
        <v>403.20901349892438</v>
      </c>
      <c r="S59" s="18">
        <v>601.57805692874172</v>
      </c>
      <c r="U59" s="16" t="s">
        <v>33</v>
      </c>
      <c r="V59" s="17" t="s">
        <v>32</v>
      </c>
      <c r="W59" s="18">
        <f t="shared" ref="W59:W65" si="29">E59+N59</f>
        <v>918.18808957453928</v>
      </c>
      <c r="X59" s="18">
        <f t="shared" si="24"/>
        <v>807.20077721615928</v>
      </c>
      <c r="Y59" s="18">
        <f t="shared" si="25"/>
        <v>876.2892465414302</v>
      </c>
      <c r="Z59" s="18">
        <f t="shared" si="26"/>
        <v>825.72030396584648</v>
      </c>
      <c r="AA59" s="18">
        <f t="shared" si="27"/>
        <v>811.79815693558464</v>
      </c>
      <c r="AB59" s="18">
        <f t="shared" si="28"/>
        <v>970.02954295071856</v>
      </c>
      <c r="AC59" s="19"/>
      <c r="AD59" s="20"/>
      <c r="AE59" s="15"/>
      <c r="AF59" s="21"/>
      <c r="AG59" s="21"/>
      <c r="AH59" s="21"/>
      <c r="AI59" s="21"/>
      <c r="AJ59" s="21"/>
      <c r="AK59" s="21"/>
      <c r="AL59" s="19"/>
      <c r="AM59" s="21"/>
      <c r="AN59" s="21"/>
      <c r="AO59" s="21"/>
      <c r="AP59" s="21"/>
      <c r="AQ59" s="21"/>
      <c r="AR59" s="21"/>
      <c r="AS59" s="21"/>
    </row>
    <row r="60" spans="1:86">
      <c r="C60" s="16" t="s">
        <v>34</v>
      </c>
      <c r="D60" s="17" t="s">
        <v>32</v>
      </c>
      <c r="E60" s="18">
        <v>558.11706369251203</v>
      </c>
      <c r="F60" s="18">
        <v>532.73294765377443</v>
      </c>
      <c r="G60" s="18">
        <v>517.94153675235145</v>
      </c>
      <c r="H60" s="18">
        <v>475.35738477808519</v>
      </c>
      <c r="I60" s="18">
        <v>454.42806795653956</v>
      </c>
      <c r="J60" s="18">
        <v>470.01219341964725</v>
      </c>
      <c r="L60" s="16" t="s">
        <v>34</v>
      </c>
      <c r="M60" s="17" t="s">
        <v>32</v>
      </c>
      <c r="N60" s="18">
        <v>595.89852324521542</v>
      </c>
      <c r="O60" s="18">
        <v>583.55921248189577</v>
      </c>
      <c r="P60" s="18">
        <v>529.74785850674959</v>
      </c>
      <c r="Q60" s="18">
        <v>466.024680460002</v>
      </c>
      <c r="R60" s="18">
        <v>424.82283864601436</v>
      </c>
      <c r="S60" s="18">
        <v>504.26270844890132</v>
      </c>
      <c r="U60" s="16" t="s">
        <v>34</v>
      </c>
      <c r="V60" s="17" t="s">
        <v>32</v>
      </c>
      <c r="W60" s="18">
        <f t="shared" si="29"/>
        <v>1154.0155869377274</v>
      </c>
      <c r="X60" s="18">
        <f t="shared" si="24"/>
        <v>1116.2921601356702</v>
      </c>
      <c r="Y60" s="18">
        <f t="shared" si="25"/>
        <v>1047.689395259101</v>
      </c>
      <c r="Z60" s="18">
        <f t="shared" si="26"/>
        <v>941.38206523808719</v>
      </c>
      <c r="AA60" s="18">
        <f t="shared" si="27"/>
        <v>879.25090660255387</v>
      </c>
      <c r="AB60" s="18">
        <f t="shared" si="28"/>
        <v>974.27490186854857</v>
      </c>
      <c r="AC60" s="19"/>
      <c r="AD60" s="20"/>
      <c r="AE60" s="15"/>
      <c r="AF60" s="21"/>
      <c r="AG60" s="21"/>
      <c r="AH60" s="21"/>
      <c r="AI60" s="21"/>
      <c r="AJ60" s="21"/>
      <c r="AK60" s="21"/>
      <c r="AL60" s="19"/>
      <c r="AM60" s="21"/>
      <c r="AN60" s="21"/>
      <c r="AO60" s="21"/>
      <c r="AP60" s="21"/>
      <c r="AQ60" s="21"/>
      <c r="AR60" s="21"/>
      <c r="AS60" s="21"/>
    </row>
    <row r="61" spans="1:86">
      <c r="C61" s="16" t="s">
        <v>35</v>
      </c>
      <c r="D61" s="17" t="s">
        <v>32</v>
      </c>
      <c r="E61" s="18">
        <v>3222.3149403154621</v>
      </c>
      <c r="F61" s="18">
        <v>3212.520883153908</v>
      </c>
      <c r="G61" s="18">
        <v>3119.4034453578838</v>
      </c>
      <c r="H61" s="18">
        <v>3241.2323670419992</v>
      </c>
      <c r="I61" s="18">
        <v>3402.8320171197061</v>
      </c>
      <c r="J61" s="18">
        <v>3272.9378237189812</v>
      </c>
      <c r="L61" s="16" t="s">
        <v>35</v>
      </c>
      <c r="M61" s="17" t="s">
        <v>32</v>
      </c>
      <c r="N61" s="18">
        <v>5332.1231403758047</v>
      </c>
      <c r="O61" s="18">
        <v>5835.9709838611343</v>
      </c>
      <c r="P61" s="18">
        <v>5834.6083940032731</v>
      </c>
      <c r="Q61" s="18">
        <v>6280.2699479641133</v>
      </c>
      <c r="R61" s="18">
        <v>6142.9015099084927</v>
      </c>
      <c r="S61" s="18">
        <v>6091.5416949711816</v>
      </c>
      <c r="U61" s="16" t="s">
        <v>35</v>
      </c>
      <c r="V61" s="17" t="s">
        <v>32</v>
      </c>
      <c r="W61" s="18">
        <f t="shared" si="29"/>
        <v>8554.4380806912668</v>
      </c>
      <c r="X61" s="18">
        <f t="shared" si="24"/>
        <v>9048.4918670150419</v>
      </c>
      <c r="Y61" s="18">
        <f t="shared" si="25"/>
        <v>8954.0118393611574</v>
      </c>
      <c r="Z61" s="18">
        <f t="shared" si="26"/>
        <v>9521.5023150061133</v>
      </c>
      <c r="AA61" s="18">
        <f t="shared" si="27"/>
        <v>9545.7335270281983</v>
      </c>
      <c r="AB61" s="18">
        <f t="shared" si="28"/>
        <v>9364.4795186901629</v>
      </c>
      <c r="AC61" s="19"/>
      <c r="AD61" s="20"/>
      <c r="AE61" s="15"/>
      <c r="AF61" s="21"/>
      <c r="AG61" s="21"/>
      <c r="AH61" s="21"/>
      <c r="AI61" s="21"/>
      <c r="AJ61" s="21"/>
      <c r="AK61" s="21"/>
      <c r="AL61" s="19"/>
      <c r="AM61" s="21"/>
      <c r="AN61" s="21"/>
      <c r="AO61" s="21"/>
      <c r="AP61" s="21"/>
      <c r="AQ61" s="21"/>
      <c r="AR61" s="21"/>
      <c r="AS61" s="21"/>
    </row>
    <row r="62" spans="1:86">
      <c r="C62" s="16" t="s">
        <v>36</v>
      </c>
      <c r="D62" s="17" t="s">
        <v>32</v>
      </c>
      <c r="E62" s="18">
        <v>771.83125878286342</v>
      </c>
      <c r="F62" s="18">
        <v>834.38764993579389</v>
      </c>
      <c r="G62" s="18">
        <v>832.23128326428014</v>
      </c>
      <c r="H62" s="18">
        <v>837.59989353478272</v>
      </c>
      <c r="I62" s="18">
        <v>979.3217909169224</v>
      </c>
      <c r="J62" s="18">
        <v>800.56517312530855</v>
      </c>
      <c r="L62" s="16" t="s">
        <v>36</v>
      </c>
      <c r="M62" s="17" t="s">
        <v>32</v>
      </c>
      <c r="N62" s="18">
        <v>710.18777418081447</v>
      </c>
      <c r="O62" s="18">
        <v>722.89057994668462</v>
      </c>
      <c r="P62" s="18">
        <v>704.94147640843016</v>
      </c>
      <c r="Q62" s="18">
        <v>707.87040545609489</v>
      </c>
      <c r="R62" s="18">
        <v>787.42640394846035</v>
      </c>
      <c r="S62" s="18">
        <v>865.05338524727745</v>
      </c>
      <c r="U62" s="16" t="s">
        <v>36</v>
      </c>
      <c r="V62" s="17" t="s">
        <v>32</v>
      </c>
      <c r="W62" s="18">
        <f t="shared" si="29"/>
        <v>1482.019032963678</v>
      </c>
      <c r="X62" s="18">
        <f t="shared" si="24"/>
        <v>1557.2782298824786</v>
      </c>
      <c r="Y62" s="18">
        <f t="shared" si="25"/>
        <v>1537.1727596727103</v>
      </c>
      <c r="Z62" s="18">
        <f t="shared" si="26"/>
        <v>1545.4702989908776</v>
      </c>
      <c r="AA62" s="18">
        <f t="shared" si="27"/>
        <v>1766.7481948653826</v>
      </c>
      <c r="AB62" s="18">
        <f t="shared" si="28"/>
        <v>1665.618558372586</v>
      </c>
      <c r="AC62" s="19"/>
      <c r="AD62" s="20"/>
      <c r="AE62" s="15"/>
      <c r="AF62" s="21"/>
      <c r="AG62" s="21"/>
      <c r="AH62" s="21"/>
      <c r="AI62" s="21"/>
      <c r="AJ62" s="21"/>
      <c r="AK62" s="21"/>
      <c r="AL62" s="19"/>
      <c r="AM62" s="21"/>
      <c r="AN62" s="21"/>
      <c r="AO62" s="21"/>
      <c r="AP62" s="21"/>
      <c r="AQ62" s="21"/>
      <c r="AR62" s="21"/>
      <c r="AS62" s="21"/>
    </row>
    <row r="63" spans="1:86">
      <c r="C63" s="16" t="s">
        <v>37</v>
      </c>
      <c r="D63" s="17" t="s">
        <v>32</v>
      </c>
      <c r="E63" s="18">
        <v>841.86636135352205</v>
      </c>
      <c r="F63" s="18">
        <v>816.40839247211557</v>
      </c>
      <c r="G63" s="18">
        <v>791.15918997563597</v>
      </c>
      <c r="H63" s="18">
        <v>816.22332642248659</v>
      </c>
      <c r="I63" s="18">
        <v>844.87087982087792</v>
      </c>
      <c r="J63" s="18">
        <v>816.84541169379304</v>
      </c>
      <c r="L63" s="16" t="s">
        <v>37</v>
      </c>
      <c r="M63" s="17" t="s">
        <v>32</v>
      </c>
      <c r="N63" s="18">
        <v>896.82251675953307</v>
      </c>
      <c r="O63" s="18">
        <v>879.33129309779144</v>
      </c>
      <c r="P63" s="18">
        <v>912.84762112223211</v>
      </c>
      <c r="Q63" s="18">
        <v>917.58011506338676</v>
      </c>
      <c r="R63" s="18">
        <v>901.43000652040575</v>
      </c>
      <c r="S63" s="18">
        <v>879.80199462517589</v>
      </c>
      <c r="U63" s="16" t="s">
        <v>37</v>
      </c>
      <c r="V63" s="17" t="s">
        <v>32</v>
      </c>
      <c r="W63" s="18">
        <f t="shared" si="29"/>
        <v>1738.6888781130551</v>
      </c>
      <c r="X63" s="18">
        <f t="shared" si="24"/>
        <v>1695.7396855699071</v>
      </c>
      <c r="Y63" s="18">
        <f t="shared" si="25"/>
        <v>1704.0068110978682</v>
      </c>
      <c r="Z63" s="18">
        <f t="shared" si="26"/>
        <v>1733.8034414858735</v>
      </c>
      <c r="AA63" s="18">
        <f t="shared" si="27"/>
        <v>1746.3008863412838</v>
      </c>
      <c r="AB63" s="18">
        <f t="shared" si="28"/>
        <v>1696.6474063189689</v>
      </c>
      <c r="AC63" s="19"/>
      <c r="AD63" s="20"/>
      <c r="AE63" s="15"/>
      <c r="AF63" s="21"/>
      <c r="AG63" s="21"/>
      <c r="AH63" s="21"/>
      <c r="AI63" s="21"/>
      <c r="AJ63" s="21"/>
      <c r="AK63" s="21"/>
      <c r="AL63" s="19"/>
      <c r="AM63" s="21"/>
      <c r="AN63" s="21"/>
      <c r="AO63" s="21"/>
      <c r="AP63" s="21"/>
      <c r="AQ63" s="21"/>
      <c r="AR63" s="21"/>
      <c r="AS63" s="21"/>
    </row>
    <row r="64" spans="1:86">
      <c r="C64" s="16" t="s">
        <v>38</v>
      </c>
      <c r="D64" s="17" t="s">
        <v>32</v>
      </c>
      <c r="E64" s="18">
        <v>143.14146135248481</v>
      </c>
      <c r="F64" s="18">
        <v>126.70367333431231</v>
      </c>
      <c r="G64" s="18">
        <v>144.84777123371538</v>
      </c>
      <c r="H64" s="18">
        <v>179.71698000651975</v>
      </c>
      <c r="I64" s="18">
        <v>176.5557497642254</v>
      </c>
      <c r="J64" s="18">
        <v>99.489973551545916</v>
      </c>
      <c r="L64" s="16" t="s">
        <v>38</v>
      </c>
      <c r="M64" s="17" t="s">
        <v>32</v>
      </c>
      <c r="N64" s="18">
        <v>191.76191331340945</v>
      </c>
      <c r="O64" s="18">
        <v>178.09512283637076</v>
      </c>
      <c r="P64" s="18">
        <v>176.29236747272779</v>
      </c>
      <c r="Q64" s="18">
        <v>215.66747852956752</v>
      </c>
      <c r="R64" s="18">
        <v>199.18914928985885</v>
      </c>
      <c r="S64" s="18">
        <v>537.54458018298249</v>
      </c>
      <c r="U64" s="16" t="s">
        <v>38</v>
      </c>
      <c r="V64" s="17" t="s">
        <v>32</v>
      </c>
      <c r="W64" s="18">
        <f t="shared" si="29"/>
        <v>334.90337466589426</v>
      </c>
      <c r="X64" s="18">
        <f t="shared" si="24"/>
        <v>304.79879617068309</v>
      </c>
      <c r="Y64" s="18">
        <f t="shared" si="25"/>
        <v>321.14013870644317</v>
      </c>
      <c r="Z64" s="18">
        <f t="shared" si="26"/>
        <v>395.38445853608727</v>
      </c>
      <c r="AA64" s="18">
        <f t="shared" si="27"/>
        <v>375.74489905408427</v>
      </c>
      <c r="AB64" s="18">
        <f t="shared" si="28"/>
        <v>637.03455373452834</v>
      </c>
      <c r="AC64" s="19"/>
      <c r="AD64" s="20"/>
      <c r="AE64" s="15"/>
      <c r="AF64" s="21"/>
      <c r="AG64" s="21"/>
      <c r="AH64" s="21"/>
      <c r="AI64" s="21"/>
      <c r="AJ64" s="21"/>
      <c r="AK64" s="21"/>
      <c r="AL64" s="19"/>
      <c r="AM64" s="21"/>
      <c r="AN64" s="21"/>
      <c r="AO64" s="21"/>
      <c r="AP64" s="21"/>
      <c r="AQ64" s="21"/>
      <c r="AR64" s="21"/>
      <c r="AS64" s="21"/>
    </row>
    <row r="65" spans="1:86">
      <c r="C65" s="16" t="s">
        <v>39</v>
      </c>
      <c r="D65" s="17" t="s">
        <v>32</v>
      </c>
      <c r="E65" s="18">
        <v>0</v>
      </c>
      <c r="F65" s="18">
        <v>0</v>
      </c>
      <c r="G65" s="18">
        <v>0</v>
      </c>
      <c r="H65" s="18">
        <v>0</v>
      </c>
      <c r="I65" s="18">
        <v>0</v>
      </c>
      <c r="J65" s="18">
        <v>0</v>
      </c>
      <c r="L65" s="16" t="s">
        <v>39</v>
      </c>
      <c r="M65" s="17" t="s">
        <v>32</v>
      </c>
      <c r="N65" s="18">
        <v>0</v>
      </c>
      <c r="O65" s="18">
        <v>0</v>
      </c>
      <c r="P65" s="18">
        <v>0</v>
      </c>
      <c r="Q65" s="18">
        <v>0</v>
      </c>
      <c r="R65" s="18">
        <v>0</v>
      </c>
      <c r="S65" s="18">
        <v>0</v>
      </c>
      <c r="U65" s="16" t="s">
        <v>39</v>
      </c>
      <c r="V65" s="17" t="s">
        <v>32</v>
      </c>
      <c r="W65" s="18">
        <f t="shared" si="29"/>
        <v>0</v>
      </c>
      <c r="X65" s="18">
        <f t="shared" si="24"/>
        <v>0</v>
      </c>
      <c r="Y65" s="18">
        <f t="shared" si="25"/>
        <v>0</v>
      </c>
      <c r="Z65" s="18">
        <f t="shared" si="26"/>
        <v>0</v>
      </c>
      <c r="AA65" s="18">
        <f t="shared" si="27"/>
        <v>0</v>
      </c>
      <c r="AB65" s="18">
        <f t="shared" si="28"/>
        <v>0</v>
      </c>
      <c r="AC65" s="19"/>
      <c r="AD65" s="20"/>
      <c r="AE65" s="15"/>
      <c r="AF65" s="21"/>
      <c r="AG65" s="21"/>
      <c r="AH65" s="21"/>
      <c r="AI65" s="21"/>
      <c r="AJ65" s="21"/>
      <c r="AK65" s="21"/>
      <c r="AL65" s="19"/>
      <c r="AM65" s="21"/>
      <c r="AN65" s="21"/>
      <c r="AO65" s="21"/>
      <c r="AP65" s="21"/>
      <c r="AQ65" s="21"/>
      <c r="AR65" s="21"/>
      <c r="AS65" s="21"/>
    </row>
    <row r="66" spans="1:86">
      <c r="A66" s="22"/>
      <c r="C66" s="23" t="s">
        <v>40</v>
      </c>
      <c r="D66" s="17" t="s">
        <v>32</v>
      </c>
      <c r="E66" s="24">
        <v>6372.4676597537118</v>
      </c>
      <c r="F66" s="24">
        <v>6307.5081153473884</v>
      </c>
      <c r="G66" s="24">
        <v>6257.2138764030851</v>
      </c>
      <c r="H66" s="24">
        <v>6330.2081215315156</v>
      </c>
      <c r="I66" s="24">
        <v>6709.5766983533795</v>
      </c>
      <c r="J66" s="24">
        <v>6270.3547577398704</v>
      </c>
      <c r="L66" s="23" t="s">
        <v>40</v>
      </c>
      <c r="M66" s="17" t="s">
        <v>32</v>
      </c>
      <c r="N66" s="24">
        <v>8508.2092553367856</v>
      </c>
      <c r="O66" s="24">
        <v>8936.1454409725193</v>
      </c>
      <c r="P66" s="24">
        <v>8918.1031235797345</v>
      </c>
      <c r="Q66" s="24">
        <v>9267.046321116155</v>
      </c>
      <c r="R66" s="24">
        <v>9144.5906022215531</v>
      </c>
      <c r="S66" s="24">
        <v>9824.9263774655101</v>
      </c>
      <c r="U66" s="23" t="s">
        <v>40</v>
      </c>
      <c r="V66" s="17" t="s">
        <v>32</v>
      </c>
      <c r="W66" s="24">
        <f>SUM(W58:W65)</f>
        <v>14880.676915090495</v>
      </c>
      <c r="X66" s="24">
        <f t="shared" ref="X66:AB66" si="30">SUM(X58:X65)</f>
        <v>15243.653556319907</v>
      </c>
      <c r="Y66" s="24">
        <f t="shared" si="30"/>
        <v>15175.316999982821</v>
      </c>
      <c r="Z66" s="24">
        <f t="shared" si="30"/>
        <v>15597.254442647674</v>
      </c>
      <c r="AA66" s="24">
        <f t="shared" si="30"/>
        <v>15854.167300574929</v>
      </c>
      <c r="AB66" s="24">
        <f t="shared" si="30"/>
        <v>16095.281135205383</v>
      </c>
      <c r="AC66" s="25"/>
      <c r="AD66" s="26"/>
      <c r="AE66" s="15"/>
      <c r="AF66" s="27"/>
      <c r="AG66" s="27"/>
      <c r="AH66" s="27"/>
      <c r="AI66" s="27"/>
      <c r="AJ66" s="27"/>
      <c r="AK66" s="27"/>
      <c r="AL66" s="25"/>
      <c r="AM66" s="27"/>
      <c r="AN66" s="27"/>
      <c r="AO66" s="27"/>
      <c r="AP66" s="27"/>
      <c r="AQ66" s="27"/>
      <c r="AR66" s="27"/>
      <c r="AS66" s="27"/>
    </row>
    <row r="68" spans="1:86">
      <c r="C68" s="9" t="s">
        <v>17</v>
      </c>
      <c r="D68" s="9"/>
      <c r="E68" s="9"/>
      <c r="F68" s="9"/>
      <c r="G68" s="9"/>
      <c r="H68" s="9"/>
      <c r="I68" s="9"/>
      <c r="J68" s="9"/>
      <c r="L68" s="9" t="s">
        <v>17</v>
      </c>
      <c r="M68" s="9"/>
      <c r="N68" s="9"/>
      <c r="O68" s="9"/>
      <c r="P68" s="9"/>
      <c r="Q68" s="9"/>
      <c r="R68" s="9"/>
      <c r="S68" s="9"/>
      <c r="U68" s="9" t="s">
        <v>17</v>
      </c>
      <c r="V68" s="9"/>
      <c r="W68" s="9"/>
      <c r="X68" s="9"/>
      <c r="Y68" s="9"/>
      <c r="Z68" s="9"/>
      <c r="AA68" s="9"/>
      <c r="AB68" s="9"/>
      <c r="AC68" s="8"/>
      <c r="AD68" s="10"/>
      <c r="AE68" s="10"/>
      <c r="AF68" s="10"/>
      <c r="AG68" s="10"/>
      <c r="AH68" s="10"/>
      <c r="AI68" s="10"/>
      <c r="AJ68" s="10"/>
      <c r="AK68" s="10"/>
      <c r="AL68" s="8"/>
      <c r="AM68" s="10"/>
      <c r="AN68" s="10"/>
      <c r="AO68" s="10"/>
      <c r="AP68" s="10"/>
      <c r="AQ68" s="10"/>
      <c r="AR68" s="10"/>
      <c r="AS68" s="10"/>
    </row>
    <row r="69" spans="1:86" s="15" customFormat="1">
      <c r="A69" s="11"/>
      <c r="B69" s="11"/>
      <c r="C69" s="60"/>
      <c r="D69" s="60" t="s">
        <v>11</v>
      </c>
      <c r="E69" s="61">
        <v>2020</v>
      </c>
      <c r="F69" s="61">
        <v>2021</v>
      </c>
      <c r="G69" s="61">
        <v>2022</v>
      </c>
      <c r="H69" s="61">
        <v>2023</v>
      </c>
      <c r="I69" s="61">
        <v>2024</v>
      </c>
      <c r="J69" s="61">
        <v>2025</v>
      </c>
      <c r="K69" s="11"/>
      <c r="L69" s="60"/>
      <c r="M69" s="60" t="s">
        <v>11</v>
      </c>
      <c r="N69" s="61">
        <v>2020</v>
      </c>
      <c r="O69" s="61">
        <v>2021</v>
      </c>
      <c r="P69" s="61">
        <v>2022</v>
      </c>
      <c r="Q69" s="61">
        <v>2023</v>
      </c>
      <c r="R69" s="61">
        <v>2024</v>
      </c>
      <c r="S69" s="61">
        <v>2025</v>
      </c>
      <c r="T69" s="11"/>
      <c r="U69" s="60"/>
      <c r="V69" s="60" t="s">
        <v>11</v>
      </c>
      <c r="W69" s="61">
        <v>2020</v>
      </c>
      <c r="X69" s="61">
        <v>2021</v>
      </c>
      <c r="Y69" s="61">
        <v>2022</v>
      </c>
      <c r="Z69" s="61">
        <v>2023</v>
      </c>
      <c r="AA69" s="61">
        <v>2024</v>
      </c>
      <c r="AB69" s="61">
        <v>2025</v>
      </c>
      <c r="AC69" s="12"/>
      <c r="AD69" s="11"/>
      <c r="AE69" s="11"/>
      <c r="AF69" s="13"/>
      <c r="AG69" s="13"/>
      <c r="AH69" s="13"/>
      <c r="AI69" s="13"/>
      <c r="AJ69" s="13"/>
      <c r="AK69" s="13"/>
      <c r="AL69" s="12"/>
      <c r="AM69" s="13"/>
      <c r="AN69" s="13"/>
      <c r="AO69" s="13"/>
      <c r="AP69" s="13"/>
      <c r="AQ69" s="13"/>
      <c r="AR69" s="13"/>
      <c r="AS69" s="13"/>
      <c r="AT69" s="11"/>
      <c r="AU69" s="11"/>
      <c r="AV69" s="11"/>
      <c r="AW69" s="11"/>
      <c r="AX69" s="11"/>
      <c r="AY69" s="11"/>
      <c r="AZ69" s="11"/>
      <c r="BA69" s="11"/>
      <c r="BB69" s="11"/>
      <c r="BC69" s="11"/>
      <c r="BD69" s="14"/>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row>
    <row r="70" spans="1:86">
      <c r="A70" s="11"/>
      <c r="B70" s="11"/>
      <c r="C70" s="16" t="s">
        <v>31</v>
      </c>
      <c r="D70" s="17" t="s">
        <v>32</v>
      </c>
      <c r="E70" s="18">
        <v>263.17484299362314</v>
      </c>
      <c r="F70" s="18">
        <v>260.63977550777008</v>
      </c>
      <c r="G70" s="18">
        <v>257.01072454875748</v>
      </c>
      <c r="H70" s="18">
        <v>246.96405502244303</v>
      </c>
      <c r="I70" s="18">
        <v>256.45820312835019</v>
      </c>
      <c r="J70" s="18">
        <v>251.58649948820388</v>
      </c>
      <c r="K70" s="11"/>
      <c r="L70" s="16" t="s">
        <v>31</v>
      </c>
      <c r="M70" s="17" t="s">
        <v>32</v>
      </c>
      <c r="N70" s="18">
        <v>144.27735666559013</v>
      </c>
      <c r="O70" s="18">
        <v>155.3645518917117</v>
      </c>
      <c r="P70" s="18">
        <v>146.08574704844477</v>
      </c>
      <c r="Q70" s="18">
        <v>138.23931502284927</v>
      </c>
      <c r="R70" s="18">
        <v>134.12735882358163</v>
      </c>
      <c r="S70" s="18">
        <v>129.27780910968193</v>
      </c>
      <c r="T70" s="11"/>
      <c r="U70" s="16" t="s">
        <v>31</v>
      </c>
      <c r="V70" s="17" t="s">
        <v>32</v>
      </c>
      <c r="W70" s="18">
        <f>E70+N70</f>
        <v>407.45219965921331</v>
      </c>
      <c r="X70" s="18">
        <f t="shared" ref="X70:X77" si="31">F70+O70</f>
        <v>416.00432739948178</v>
      </c>
      <c r="Y70" s="18">
        <f t="shared" ref="Y70:Y77" si="32">G70+P70</f>
        <v>403.09647159720225</v>
      </c>
      <c r="Z70" s="18">
        <f t="shared" ref="Z70:Z77" si="33">H70+Q70</f>
        <v>385.20337004529233</v>
      </c>
      <c r="AA70" s="18">
        <f t="shared" ref="AA70:AA77" si="34">I70+R70</f>
        <v>390.58556195193182</v>
      </c>
      <c r="AB70" s="18">
        <f t="shared" ref="AB70:AB77" si="35">J70+S70</f>
        <v>380.86430859788584</v>
      </c>
      <c r="AC70" s="19"/>
      <c r="AD70" s="20"/>
      <c r="AE70" s="15"/>
      <c r="AF70" s="21"/>
      <c r="AG70" s="21"/>
      <c r="AH70" s="21"/>
      <c r="AI70" s="21"/>
      <c r="AJ70" s="21"/>
      <c r="AK70" s="21"/>
      <c r="AL70" s="19"/>
      <c r="AM70" s="21"/>
      <c r="AN70" s="21"/>
      <c r="AO70" s="21"/>
      <c r="AP70" s="21"/>
      <c r="AQ70" s="21"/>
      <c r="AR70" s="21"/>
      <c r="AS70" s="21"/>
      <c r="AT70" s="11"/>
      <c r="AU70" s="11"/>
      <c r="AV70" s="11"/>
      <c r="AW70" s="11"/>
      <c r="AX70" s="11"/>
      <c r="AY70" s="11"/>
      <c r="AZ70" s="11"/>
      <c r="BA70" s="11"/>
      <c r="BB70" s="11"/>
      <c r="BC70" s="11"/>
      <c r="BD70" s="14"/>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row>
    <row r="71" spans="1:86">
      <c r="C71" s="16" t="s">
        <v>33</v>
      </c>
      <c r="D71" s="17" t="s">
        <v>32</v>
      </c>
      <c r="E71" s="18">
        <v>5.9447935167865689</v>
      </c>
      <c r="F71" s="18">
        <v>6.8429875559813338</v>
      </c>
      <c r="G71" s="18">
        <v>7.8893301745017261</v>
      </c>
      <c r="H71" s="18">
        <v>9.8097704089341224</v>
      </c>
      <c r="I71" s="18">
        <v>9.8740643415361582</v>
      </c>
      <c r="J71" s="18">
        <v>10.459510054748954</v>
      </c>
      <c r="L71" s="16" t="s">
        <v>33</v>
      </c>
      <c r="M71" s="17" t="s">
        <v>32</v>
      </c>
      <c r="N71" s="18">
        <v>726.0884329457258</v>
      </c>
      <c r="O71" s="18">
        <v>716.98191870169489</v>
      </c>
      <c r="P71" s="18">
        <v>791.51844197803507</v>
      </c>
      <c r="Q71" s="18">
        <v>854.63160811339924</v>
      </c>
      <c r="R71" s="18">
        <v>859.70104860574384</v>
      </c>
      <c r="S71" s="18">
        <v>913.09733789706877</v>
      </c>
      <c r="U71" s="16" t="s">
        <v>33</v>
      </c>
      <c r="V71" s="17" t="s">
        <v>32</v>
      </c>
      <c r="W71" s="18">
        <f t="shared" ref="W71:W77" si="36">E71+N71</f>
        <v>732.0332264625124</v>
      </c>
      <c r="X71" s="18">
        <f t="shared" si="31"/>
        <v>723.82490625767628</v>
      </c>
      <c r="Y71" s="18">
        <f t="shared" si="32"/>
        <v>799.40777215253684</v>
      </c>
      <c r="Z71" s="18">
        <f t="shared" si="33"/>
        <v>864.44137852233337</v>
      </c>
      <c r="AA71" s="18">
        <f t="shared" si="34"/>
        <v>869.57511294727999</v>
      </c>
      <c r="AB71" s="18">
        <f t="shared" si="35"/>
        <v>923.55684795181776</v>
      </c>
      <c r="AC71" s="19"/>
      <c r="AD71" s="20"/>
      <c r="AE71" s="15"/>
      <c r="AF71" s="21"/>
      <c r="AG71" s="21"/>
      <c r="AH71" s="21"/>
      <c r="AI71" s="21"/>
      <c r="AJ71" s="21"/>
      <c r="AK71" s="21"/>
      <c r="AL71" s="19"/>
      <c r="AM71" s="21"/>
      <c r="AN71" s="21"/>
      <c r="AO71" s="21"/>
      <c r="AP71" s="21"/>
      <c r="AQ71" s="21"/>
      <c r="AR71" s="21"/>
      <c r="AS71" s="21"/>
    </row>
    <row r="72" spans="1:86">
      <c r="C72" s="16" t="s">
        <v>34</v>
      </c>
      <c r="D72" s="17" t="s">
        <v>32</v>
      </c>
      <c r="E72" s="18">
        <v>130.06311939893834</v>
      </c>
      <c r="F72" s="18">
        <v>142.32415363727847</v>
      </c>
      <c r="G72" s="18">
        <v>146.12010414193253</v>
      </c>
      <c r="H72" s="18">
        <v>131.09585943496722</v>
      </c>
      <c r="I72" s="18">
        <v>120.06370771564832</v>
      </c>
      <c r="J72" s="18">
        <v>107.23884038562073</v>
      </c>
      <c r="L72" s="16" t="s">
        <v>34</v>
      </c>
      <c r="M72" s="17" t="s">
        <v>32</v>
      </c>
      <c r="N72" s="18">
        <v>290.77608738558956</v>
      </c>
      <c r="O72" s="18">
        <v>284.96727887152713</v>
      </c>
      <c r="P72" s="18">
        <v>260.35754868926546</v>
      </c>
      <c r="Q72" s="18">
        <v>233.39667444862022</v>
      </c>
      <c r="R72" s="18">
        <v>217.29027741167459</v>
      </c>
      <c r="S72" s="18">
        <v>212.37021112368697</v>
      </c>
      <c r="U72" s="16" t="s">
        <v>34</v>
      </c>
      <c r="V72" s="17" t="s">
        <v>32</v>
      </c>
      <c r="W72" s="18">
        <f t="shared" si="36"/>
        <v>420.8392067845279</v>
      </c>
      <c r="X72" s="18">
        <f t="shared" si="31"/>
        <v>427.2914325088056</v>
      </c>
      <c r="Y72" s="18">
        <f t="shared" si="32"/>
        <v>406.47765283119799</v>
      </c>
      <c r="Z72" s="18">
        <f t="shared" si="33"/>
        <v>364.49253388358744</v>
      </c>
      <c r="AA72" s="18">
        <f t="shared" si="34"/>
        <v>337.35398512732291</v>
      </c>
      <c r="AB72" s="18">
        <f t="shared" si="35"/>
        <v>319.60905150930773</v>
      </c>
      <c r="AC72" s="19"/>
      <c r="AD72" s="20"/>
      <c r="AE72" s="15"/>
      <c r="AF72" s="21"/>
      <c r="AG72" s="21"/>
      <c r="AH72" s="21"/>
      <c r="AI72" s="21"/>
      <c r="AJ72" s="21"/>
      <c r="AK72" s="21"/>
      <c r="AL72" s="19"/>
      <c r="AM72" s="21"/>
      <c r="AN72" s="21"/>
      <c r="AO72" s="21"/>
      <c r="AP72" s="21"/>
      <c r="AQ72" s="21"/>
      <c r="AR72" s="21"/>
      <c r="AS72" s="21"/>
    </row>
    <row r="73" spans="1:86">
      <c r="C73" s="16" t="s">
        <v>35</v>
      </c>
      <c r="D73" s="17" t="s">
        <v>32</v>
      </c>
      <c r="E73" s="18">
        <v>19.615716996293028</v>
      </c>
      <c r="F73" s="18">
        <v>18.698213239179289</v>
      </c>
      <c r="G73" s="18">
        <v>18.49947210448946</v>
      </c>
      <c r="H73" s="18">
        <v>16.832523854083512</v>
      </c>
      <c r="I73" s="18">
        <v>22.29035304233442</v>
      </c>
      <c r="J73" s="18">
        <v>23.061214048223949</v>
      </c>
      <c r="L73" s="16" t="s">
        <v>35</v>
      </c>
      <c r="M73" s="17" t="s">
        <v>32</v>
      </c>
      <c r="N73" s="18">
        <v>2761.2684817456552</v>
      </c>
      <c r="O73" s="18">
        <v>2871.2819953446224</v>
      </c>
      <c r="P73" s="18">
        <v>2823.9858439792251</v>
      </c>
      <c r="Q73" s="18">
        <v>3017.7448196303912</v>
      </c>
      <c r="R73" s="18">
        <v>2982.9258642704517</v>
      </c>
      <c r="S73" s="18">
        <v>2981.8881919071964</v>
      </c>
      <c r="U73" s="16" t="s">
        <v>35</v>
      </c>
      <c r="V73" s="17" t="s">
        <v>32</v>
      </c>
      <c r="W73" s="18">
        <f t="shared" si="36"/>
        <v>2780.8841987419482</v>
      </c>
      <c r="X73" s="18">
        <f t="shared" si="31"/>
        <v>2889.9802085838019</v>
      </c>
      <c r="Y73" s="18">
        <f t="shared" si="32"/>
        <v>2842.4853160837147</v>
      </c>
      <c r="Z73" s="18">
        <f t="shared" si="33"/>
        <v>3034.5773434844746</v>
      </c>
      <c r="AA73" s="18">
        <f t="shared" si="34"/>
        <v>3005.2162173127863</v>
      </c>
      <c r="AB73" s="18">
        <f t="shared" si="35"/>
        <v>3004.9494059554204</v>
      </c>
      <c r="AC73" s="19"/>
      <c r="AD73" s="20"/>
      <c r="AE73" s="15"/>
      <c r="AF73" s="21"/>
      <c r="AG73" s="21"/>
      <c r="AH73" s="21"/>
      <c r="AI73" s="21"/>
      <c r="AJ73" s="21"/>
      <c r="AK73" s="21"/>
      <c r="AL73" s="19"/>
      <c r="AM73" s="21"/>
      <c r="AN73" s="21"/>
      <c r="AO73" s="21"/>
      <c r="AP73" s="21"/>
      <c r="AQ73" s="21"/>
      <c r="AR73" s="21"/>
      <c r="AS73" s="21"/>
    </row>
    <row r="74" spans="1:86">
      <c r="C74" s="16" t="s">
        <v>36</v>
      </c>
      <c r="D74" s="17" t="s">
        <v>32</v>
      </c>
      <c r="E74" s="18">
        <v>0</v>
      </c>
      <c r="F74" s="18">
        <v>0</v>
      </c>
      <c r="G74" s="18">
        <v>0</v>
      </c>
      <c r="H74" s="18">
        <v>0</v>
      </c>
      <c r="I74" s="18">
        <v>0</v>
      </c>
      <c r="J74" s="18">
        <v>0</v>
      </c>
      <c r="L74" s="16" t="s">
        <v>36</v>
      </c>
      <c r="M74" s="17" t="s">
        <v>32</v>
      </c>
      <c r="N74" s="18">
        <v>236.07386313015468</v>
      </c>
      <c r="O74" s="18">
        <v>257.76555505248513</v>
      </c>
      <c r="P74" s="18">
        <v>292.89434949362044</v>
      </c>
      <c r="Q74" s="18">
        <v>291.10103950062171</v>
      </c>
      <c r="R74" s="18">
        <v>327.75512208336011</v>
      </c>
      <c r="S74" s="18">
        <v>332.77787062386255</v>
      </c>
      <c r="U74" s="16" t="s">
        <v>36</v>
      </c>
      <c r="V74" s="17" t="s">
        <v>32</v>
      </c>
      <c r="W74" s="18">
        <f t="shared" si="36"/>
        <v>236.07386313015468</v>
      </c>
      <c r="X74" s="18">
        <f t="shared" si="31"/>
        <v>257.76555505248513</v>
      </c>
      <c r="Y74" s="18">
        <f t="shared" si="32"/>
        <v>292.89434949362044</v>
      </c>
      <c r="Z74" s="18">
        <f t="shared" si="33"/>
        <v>291.10103950062171</v>
      </c>
      <c r="AA74" s="18">
        <f t="shared" si="34"/>
        <v>327.75512208336011</v>
      </c>
      <c r="AB74" s="18">
        <f t="shared" si="35"/>
        <v>332.77787062386255</v>
      </c>
      <c r="AC74" s="19"/>
      <c r="AD74" s="20"/>
      <c r="AE74" s="15"/>
      <c r="AF74" s="21"/>
      <c r="AG74" s="21"/>
      <c r="AH74" s="21"/>
      <c r="AI74" s="21"/>
      <c r="AJ74" s="21"/>
      <c r="AK74" s="21"/>
      <c r="AL74" s="19"/>
      <c r="AM74" s="21"/>
      <c r="AN74" s="21"/>
      <c r="AO74" s="21"/>
      <c r="AP74" s="21"/>
      <c r="AQ74" s="21"/>
      <c r="AR74" s="21"/>
      <c r="AS74" s="21"/>
    </row>
    <row r="75" spans="1:86">
      <c r="C75" s="16" t="s">
        <v>37</v>
      </c>
      <c r="D75" s="17" t="s">
        <v>32</v>
      </c>
      <c r="E75" s="18">
        <v>49.489083772643369</v>
      </c>
      <c r="F75" s="18">
        <v>59.079760600320157</v>
      </c>
      <c r="G75" s="18">
        <v>57.078444184019766</v>
      </c>
      <c r="H75" s="18">
        <v>57.770876607736405</v>
      </c>
      <c r="I75" s="18">
        <v>58.727059125876252</v>
      </c>
      <c r="J75" s="18">
        <v>60.282659927687369</v>
      </c>
      <c r="L75" s="16" t="s">
        <v>37</v>
      </c>
      <c r="M75" s="17" t="s">
        <v>32</v>
      </c>
      <c r="N75" s="18">
        <v>377.21615187495513</v>
      </c>
      <c r="O75" s="18">
        <v>351.58229493733484</v>
      </c>
      <c r="P75" s="18">
        <v>352.00260836000899</v>
      </c>
      <c r="Q75" s="18">
        <v>381.90872037713677</v>
      </c>
      <c r="R75" s="18">
        <v>379.16812750912305</v>
      </c>
      <c r="S75" s="18">
        <v>382.85355446006554</v>
      </c>
      <c r="U75" s="16" t="s">
        <v>37</v>
      </c>
      <c r="V75" s="17" t="s">
        <v>32</v>
      </c>
      <c r="W75" s="18">
        <f t="shared" si="36"/>
        <v>426.7052356475985</v>
      </c>
      <c r="X75" s="18">
        <f t="shared" si="31"/>
        <v>410.66205553765496</v>
      </c>
      <c r="Y75" s="18">
        <f t="shared" si="32"/>
        <v>409.08105254402875</v>
      </c>
      <c r="Z75" s="18">
        <f t="shared" si="33"/>
        <v>439.67959698487317</v>
      </c>
      <c r="AA75" s="18">
        <f t="shared" si="34"/>
        <v>437.89518663499928</v>
      </c>
      <c r="AB75" s="18">
        <f t="shared" si="35"/>
        <v>443.13621438775289</v>
      </c>
      <c r="AC75" s="19"/>
      <c r="AD75" s="20"/>
      <c r="AE75" s="15"/>
      <c r="AF75" s="21"/>
      <c r="AG75" s="21"/>
      <c r="AH75" s="21"/>
      <c r="AI75" s="21"/>
      <c r="AJ75" s="21"/>
      <c r="AK75" s="21"/>
      <c r="AL75" s="19"/>
      <c r="AM75" s="21"/>
      <c r="AN75" s="21"/>
      <c r="AO75" s="21"/>
      <c r="AP75" s="21"/>
      <c r="AQ75" s="21"/>
      <c r="AR75" s="21"/>
      <c r="AS75" s="21"/>
    </row>
    <row r="76" spans="1:86">
      <c r="C76" s="16" t="s">
        <v>38</v>
      </c>
      <c r="D76" s="17" t="s">
        <v>32</v>
      </c>
      <c r="E76" s="18">
        <v>45.636132776438529</v>
      </c>
      <c r="F76" s="18">
        <v>47.799512513303242</v>
      </c>
      <c r="G76" s="18">
        <v>39.355310349068631</v>
      </c>
      <c r="H76" s="18">
        <v>41.414652901240274</v>
      </c>
      <c r="I76" s="18">
        <v>45.038691660890088</v>
      </c>
      <c r="J76" s="18">
        <v>44.623938086498079</v>
      </c>
      <c r="L76" s="16" t="s">
        <v>38</v>
      </c>
      <c r="M76" s="17" t="s">
        <v>32</v>
      </c>
      <c r="N76" s="18">
        <v>101.28284302186789</v>
      </c>
      <c r="O76" s="18">
        <v>97.232696878291947</v>
      </c>
      <c r="P76" s="18">
        <v>98.619754390109179</v>
      </c>
      <c r="Q76" s="18">
        <v>97.528656443135688</v>
      </c>
      <c r="R76" s="18">
        <v>96.652997722837711</v>
      </c>
      <c r="S76" s="18">
        <v>92.019269279586112</v>
      </c>
      <c r="U76" s="16" t="s">
        <v>38</v>
      </c>
      <c r="V76" s="17" t="s">
        <v>32</v>
      </c>
      <c r="W76" s="18">
        <f t="shared" si="36"/>
        <v>146.91897579830641</v>
      </c>
      <c r="X76" s="18">
        <f t="shared" si="31"/>
        <v>145.03220939159519</v>
      </c>
      <c r="Y76" s="18">
        <f t="shared" si="32"/>
        <v>137.97506473917781</v>
      </c>
      <c r="Z76" s="18">
        <f t="shared" si="33"/>
        <v>138.94330934437596</v>
      </c>
      <c r="AA76" s="18">
        <f t="shared" si="34"/>
        <v>141.69168938372781</v>
      </c>
      <c r="AB76" s="18">
        <f t="shared" si="35"/>
        <v>136.6432073660842</v>
      </c>
      <c r="AC76" s="19"/>
      <c r="AD76" s="20"/>
      <c r="AE76" s="15"/>
      <c r="AF76" s="21"/>
      <c r="AG76" s="21"/>
      <c r="AH76" s="21"/>
      <c r="AI76" s="21"/>
      <c r="AJ76" s="21"/>
      <c r="AK76" s="21"/>
      <c r="AL76" s="19"/>
      <c r="AM76" s="21"/>
      <c r="AN76" s="21"/>
      <c r="AO76" s="21"/>
      <c r="AP76" s="21"/>
      <c r="AQ76" s="21"/>
      <c r="AR76" s="21"/>
      <c r="AS76" s="21"/>
    </row>
    <row r="77" spans="1:86">
      <c r="C77" s="16" t="s">
        <v>39</v>
      </c>
      <c r="D77" s="17" t="s">
        <v>32</v>
      </c>
      <c r="E77" s="18">
        <v>11.912998069968285</v>
      </c>
      <c r="F77" s="18">
        <v>13.576485840041574</v>
      </c>
      <c r="G77" s="18">
        <v>12.691260149799655</v>
      </c>
      <c r="H77" s="18">
        <v>12.609160136222336</v>
      </c>
      <c r="I77" s="18">
        <v>13.450669635180923</v>
      </c>
      <c r="J77" s="18">
        <v>14.877608577455556</v>
      </c>
      <c r="L77" s="16" t="s">
        <v>39</v>
      </c>
      <c r="M77" s="17" t="s">
        <v>32</v>
      </c>
      <c r="N77" s="18">
        <v>47.144273490199708</v>
      </c>
      <c r="O77" s="18">
        <v>51.820142951067197</v>
      </c>
      <c r="P77" s="18">
        <v>52.036438402134237</v>
      </c>
      <c r="Q77" s="18">
        <v>53.520876296817583</v>
      </c>
      <c r="R77" s="18">
        <v>54.854311235386035</v>
      </c>
      <c r="S77" s="18">
        <v>60.411926264211658</v>
      </c>
      <c r="U77" s="16" t="s">
        <v>39</v>
      </c>
      <c r="V77" s="17" t="s">
        <v>32</v>
      </c>
      <c r="W77" s="18">
        <f t="shared" si="36"/>
        <v>59.05727156016799</v>
      </c>
      <c r="X77" s="18">
        <f t="shared" si="31"/>
        <v>65.396628791108768</v>
      </c>
      <c r="Y77" s="18">
        <f t="shared" si="32"/>
        <v>64.727698551933898</v>
      </c>
      <c r="Z77" s="18">
        <f t="shared" si="33"/>
        <v>66.130036433039919</v>
      </c>
      <c r="AA77" s="18">
        <f t="shared" si="34"/>
        <v>68.304980870566965</v>
      </c>
      <c r="AB77" s="18">
        <f t="shared" si="35"/>
        <v>75.289534841667219</v>
      </c>
      <c r="AC77" s="19"/>
      <c r="AD77" s="20"/>
      <c r="AE77" s="15"/>
      <c r="AF77" s="21"/>
      <c r="AG77" s="21"/>
      <c r="AH77" s="21"/>
      <c r="AI77" s="21"/>
      <c r="AJ77" s="21"/>
      <c r="AK77" s="21"/>
      <c r="AL77" s="19"/>
      <c r="AM77" s="21"/>
      <c r="AN77" s="21"/>
      <c r="AO77" s="21"/>
      <c r="AP77" s="21"/>
      <c r="AQ77" s="21"/>
      <c r="AR77" s="21"/>
      <c r="AS77" s="21"/>
    </row>
    <row r="78" spans="1:86">
      <c r="A78" s="22"/>
      <c r="C78" s="23" t="s">
        <v>40</v>
      </c>
      <c r="D78" s="17" t="s">
        <v>32</v>
      </c>
      <c r="E78" s="24">
        <v>525.83668752469123</v>
      </c>
      <c r="F78" s="24">
        <v>548.96088889387408</v>
      </c>
      <c r="G78" s="24">
        <v>538.64464565256924</v>
      </c>
      <c r="H78" s="24">
        <v>516.49689836562686</v>
      </c>
      <c r="I78" s="24">
        <v>525.90274864981632</v>
      </c>
      <c r="J78" s="24">
        <v>512.1302705684385</v>
      </c>
      <c r="L78" s="23" t="s">
        <v>40</v>
      </c>
      <c r="M78" s="17" t="s">
        <v>32</v>
      </c>
      <c r="N78" s="24">
        <v>4684.1274902597379</v>
      </c>
      <c r="O78" s="24">
        <v>4786.9964346287352</v>
      </c>
      <c r="P78" s="24">
        <v>4817.5007323408427</v>
      </c>
      <c r="Q78" s="24">
        <v>5068.0717098329715</v>
      </c>
      <c r="R78" s="24">
        <v>5052.4751076621587</v>
      </c>
      <c r="S78" s="24">
        <v>5104.6961706653592</v>
      </c>
      <c r="U78" s="23" t="s">
        <v>40</v>
      </c>
      <c r="V78" s="17" t="s">
        <v>32</v>
      </c>
      <c r="W78" s="24">
        <f>SUM(W70:W77)</f>
        <v>5209.9641777844308</v>
      </c>
      <c r="X78" s="24">
        <f t="shared" ref="X78:AB78" si="37">SUM(X70:X77)</f>
        <v>5335.9573235226098</v>
      </c>
      <c r="Y78" s="24">
        <f t="shared" si="37"/>
        <v>5356.1453779934118</v>
      </c>
      <c r="Z78" s="24">
        <f t="shared" si="37"/>
        <v>5584.5686081985987</v>
      </c>
      <c r="AA78" s="24">
        <f t="shared" si="37"/>
        <v>5578.3778563119749</v>
      </c>
      <c r="AB78" s="24">
        <f t="shared" si="37"/>
        <v>5616.8264412337985</v>
      </c>
      <c r="AC78" s="25"/>
      <c r="AD78" s="26"/>
      <c r="AE78" s="15"/>
      <c r="AF78" s="27"/>
      <c r="AG78" s="27"/>
      <c r="AH78" s="27"/>
      <c r="AI78" s="27"/>
      <c r="AJ78" s="27"/>
      <c r="AK78" s="27"/>
      <c r="AL78" s="25"/>
      <c r="AM78" s="27"/>
      <c r="AN78" s="27"/>
      <c r="AO78" s="27"/>
      <c r="AP78" s="27"/>
      <c r="AQ78" s="27"/>
      <c r="AR78" s="27"/>
      <c r="AS78" s="27"/>
    </row>
    <row r="80" spans="1:86">
      <c r="C80" s="9" t="s">
        <v>4</v>
      </c>
      <c r="D80" s="9"/>
      <c r="E80" s="9"/>
      <c r="F80" s="9"/>
      <c r="G80" s="9"/>
      <c r="H80" s="9"/>
      <c r="I80" s="9"/>
      <c r="J80" s="9"/>
      <c r="L80" s="9" t="s">
        <v>4</v>
      </c>
      <c r="M80" s="9"/>
      <c r="N80" s="9"/>
      <c r="O80" s="9"/>
      <c r="P80" s="9"/>
      <c r="Q80" s="9"/>
      <c r="R80" s="9"/>
      <c r="S80" s="9"/>
      <c r="U80" s="9" t="s">
        <v>4</v>
      </c>
      <c r="V80" s="9"/>
      <c r="W80" s="9"/>
      <c r="X80" s="9"/>
      <c r="Y80" s="9"/>
      <c r="Z80" s="9"/>
      <c r="AA80" s="9"/>
      <c r="AB80" s="9"/>
      <c r="AC80" s="8"/>
      <c r="AD80" s="10"/>
      <c r="AE80" s="10"/>
      <c r="AF80" s="10"/>
      <c r="AG80" s="10"/>
      <c r="AH80" s="10"/>
      <c r="AI80" s="10"/>
      <c r="AJ80" s="10"/>
      <c r="AK80" s="10"/>
      <c r="AL80" s="8"/>
      <c r="AM80" s="10"/>
      <c r="AN80" s="10"/>
      <c r="AO80" s="10"/>
      <c r="AP80" s="10"/>
      <c r="AQ80" s="10"/>
      <c r="AR80" s="10"/>
      <c r="AS80" s="10"/>
    </row>
    <row r="81" spans="1:86" s="15" customFormat="1">
      <c r="A81" s="11"/>
      <c r="B81" s="11"/>
      <c r="C81" s="60"/>
      <c r="D81" s="60" t="s">
        <v>11</v>
      </c>
      <c r="E81" s="61">
        <v>2020</v>
      </c>
      <c r="F81" s="61">
        <v>2021</v>
      </c>
      <c r="G81" s="61">
        <v>2022</v>
      </c>
      <c r="H81" s="61">
        <v>2023</v>
      </c>
      <c r="I81" s="61">
        <v>2024</v>
      </c>
      <c r="J81" s="61">
        <v>2025</v>
      </c>
      <c r="K81" s="11"/>
      <c r="L81" s="60"/>
      <c r="M81" s="60" t="s">
        <v>11</v>
      </c>
      <c r="N81" s="61">
        <v>2020</v>
      </c>
      <c r="O81" s="61">
        <v>2021</v>
      </c>
      <c r="P81" s="61">
        <v>2022</v>
      </c>
      <c r="Q81" s="61">
        <v>2023</v>
      </c>
      <c r="R81" s="61">
        <v>2024</v>
      </c>
      <c r="S81" s="61">
        <v>2025</v>
      </c>
      <c r="T81" s="11"/>
      <c r="U81" s="60"/>
      <c r="V81" s="60" t="s">
        <v>11</v>
      </c>
      <c r="W81" s="61">
        <v>2020</v>
      </c>
      <c r="X81" s="61">
        <v>2021</v>
      </c>
      <c r="Y81" s="61">
        <v>2022</v>
      </c>
      <c r="Z81" s="61">
        <v>2023</v>
      </c>
      <c r="AA81" s="61">
        <v>2024</v>
      </c>
      <c r="AB81" s="61">
        <v>2025</v>
      </c>
      <c r="AC81" s="12"/>
      <c r="AD81" s="11"/>
      <c r="AE81" s="11"/>
      <c r="AF81" s="13"/>
      <c r="AG81" s="13"/>
      <c r="AH81" s="13"/>
      <c r="AI81" s="13"/>
      <c r="AJ81" s="13"/>
      <c r="AK81" s="13"/>
      <c r="AL81" s="12"/>
      <c r="AM81" s="13"/>
      <c r="AN81" s="13"/>
      <c r="AO81" s="13"/>
      <c r="AP81" s="13"/>
      <c r="AQ81" s="13"/>
      <c r="AR81" s="13"/>
      <c r="AS81" s="13"/>
      <c r="AT81" s="11"/>
      <c r="AU81" s="11"/>
      <c r="AV81" s="11"/>
      <c r="AW81" s="11"/>
      <c r="AX81" s="11"/>
      <c r="AY81" s="11"/>
      <c r="AZ81" s="11"/>
      <c r="BA81" s="11"/>
      <c r="BB81" s="11"/>
      <c r="BC81" s="11"/>
      <c r="BD81" s="14"/>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row>
    <row r="82" spans="1:86">
      <c r="A82" s="11"/>
      <c r="B82" s="11"/>
      <c r="C82" s="16" t="s">
        <v>31</v>
      </c>
      <c r="D82" s="17" t="s">
        <v>32</v>
      </c>
      <c r="E82" s="18">
        <v>3508.6969554297448</v>
      </c>
      <c r="F82" s="18">
        <v>3161.4234792094762</v>
      </c>
      <c r="G82" s="18">
        <v>3537.2916678390193</v>
      </c>
      <c r="H82" s="18">
        <v>3609.7546248449189</v>
      </c>
      <c r="I82" s="18">
        <v>3445.7795166513433</v>
      </c>
      <c r="J82" s="18">
        <v>3422.3275476051504</v>
      </c>
      <c r="K82" s="11"/>
      <c r="L82" s="16" t="s">
        <v>31</v>
      </c>
      <c r="M82" s="17" t="s">
        <v>32</v>
      </c>
      <c r="N82" s="18">
        <v>1642.0846317945536</v>
      </c>
      <c r="O82" s="18">
        <v>1620.9192169664016</v>
      </c>
      <c r="P82" s="18">
        <v>1763.6154231106052</v>
      </c>
      <c r="Q82" s="18">
        <v>1850.7438002778706</v>
      </c>
      <c r="R82" s="18">
        <v>1860.8895105885513</v>
      </c>
      <c r="S82" s="18">
        <v>1848.5510538402484</v>
      </c>
      <c r="T82" s="11"/>
      <c r="U82" s="16" t="s">
        <v>31</v>
      </c>
      <c r="V82" s="17" t="s">
        <v>32</v>
      </c>
      <c r="W82" s="18">
        <f>E82+N82</f>
        <v>5150.7815872242982</v>
      </c>
      <c r="X82" s="18">
        <f t="shared" ref="X82:X89" si="38">F82+O82</f>
        <v>4782.3426961758778</v>
      </c>
      <c r="Y82" s="18">
        <f t="shared" ref="Y82:Y89" si="39">G82+P82</f>
        <v>5300.907090949624</v>
      </c>
      <c r="Z82" s="18">
        <f t="shared" ref="Z82:Z89" si="40">H82+Q82</f>
        <v>5460.4984251227897</v>
      </c>
      <c r="AA82" s="18">
        <f t="shared" ref="AA82:AA89" si="41">I82+R82</f>
        <v>5306.6690272398946</v>
      </c>
      <c r="AB82" s="18">
        <f t="shared" ref="AB82:AB89" si="42">J82+S82</f>
        <v>5270.878601445399</v>
      </c>
      <c r="AC82" s="19"/>
      <c r="AD82" s="20"/>
      <c r="AE82" s="15"/>
      <c r="AF82" s="30"/>
      <c r="AG82" s="30"/>
      <c r="AH82" s="30"/>
      <c r="AI82" s="30"/>
      <c r="AJ82" s="30"/>
      <c r="AK82" s="30"/>
      <c r="AL82" s="31"/>
      <c r="AM82" s="21"/>
      <c r="AN82" s="21"/>
      <c r="AO82" s="21"/>
      <c r="AP82" s="21"/>
      <c r="AQ82" s="21"/>
      <c r="AR82" s="21"/>
      <c r="AS82" s="21"/>
      <c r="AT82" s="11"/>
      <c r="AU82" s="11"/>
      <c r="AV82" s="11"/>
      <c r="AW82" s="11"/>
      <c r="AX82" s="11"/>
      <c r="AY82" s="11"/>
      <c r="AZ82" s="11"/>
      <c r="BA82" s="11"/>
      <c r="BB82" s="11"/>
      <c r="BC82" s="11"/>
      <c r="BD82" s="14"/>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row>
    <row r="83" spans="1:86">
      <c r="C83" s="16" t="s">
        <v>33</v>
      </c>
      <c r="D83" s="17" t="s">
        <v>32</v>
      </c>
      <c r="E83" s="18">
        <v>0</v>
      </c>
      <c r="F83" s="18">
        <v>0</v>
      </c>
      <c r="G83" s="18">
        <v>0</v>
      </c>
      <c r="H83" s="18">
        <v>0</v>
      </c>
      <c r="I83" s="18">
        <v>0</v>
      </c>
      <c r="J83" s="18">
        <v>0</v>
      </c>
      <c r="L83" s="16" t="s">
        <v>33</v>
      </c>
      <c r="M83" s="17" t="s">
        <v>32</v>
      </c>
      <c r="N83" s="18">
        <v>0</v>
      </c>
      <c r="O83" s="18">
        <v>0</v>
      </c>
      <c r="P83" s="18">
        <v>0</v>
      </c>
      <c r="Q83" s="18">
        <v>0</v>
      </c>
      <c r="R83" s="18">
        <v>0</v>
      </c>
      <c r="S83" s="18">
        <v>0</v>
      </c>
      <c r="U83" s="16" t="s">
        <v>33</v>
      </c>
      <c r="V83" s="17" t="s">
        <v>32</v>
      </c>
      <c r="W83" s="18">
        <f t="shared" ref="W83:W89" si="43">E83+N83</f>
        <v>0</v>
      </c>
      <c r="X83" s="18">
        <f t="shared" si="38"/>
        <v>0</v>
      </c>
      <c r="Y83" s="18">
        <f t="shared" si="39"/>
        <v>0</v>
      </c>
      <c r="Z83" s="18">
        <f t="shared" si="40"/>
        <v>0</v>
      </c>
      <c r="AA83" s="18">
        <f t="shared" si="41"/>
        <v>0</v>
      </c>
      <c r="AB83" s="18">
        <f t="shared" si="42"/>
        <v>0</v>
      </c>
      <c r="AC83" s="19"/>
      <c r="AD83" s="20"/>
      <c r="AE83" s="15"/>
      <c r="AF83" s="30"/>
      <c r="AG83" s="30"/>
      <c r="AH83" s="30"/>
      <c r="AI83" s="30"/>
      <c r="AJ83" s="30"/>
      <c r="AK83" s="30"/>
      <c r="AL83" s="31"/>
      <c r="AM83" s="21"/>
      <c r="AN83" s="21"/>
      <c r="AO83" s="21"/>
      <c r="AP83" s="21"/>
      <c r="AQ83" s="21"/>
      <c r="AR83" s="21"/>
      <c r="AS83" s="21"/>
    </row>
    <row r="84" spans="1:86">
      <c r="C84" s="16" t="s">
        <v>34</v>
      </c>
      <c r="D84" s="17" t="s">
        <v>32</v>
      </c>
      <c r="E84" s="18">
        <v>4906.8293184039412</v>
      </c>
      <c r="F84" s="18">
        <v>6004.7269802311121</v>
      </c>
      <c r="G84" s="18">
        <v>6003.9214412054698</v>
      </c>
      <c r="H84" s="18">
        <v>2697.7013362462999</v>
      </c>
      <c r="I84" s="18">
        <v>2476.0567411755737</v>
      </c>
      <c r="J84" s="18">
        <v>2296.5067918408026</v>
      </c>
      <c r="L84" s="16" t="s">
        <v>34</v>
      </c>
      <c r="M84" s="17" t="s">
        <v>32</v>
      </c>
      <c r="N84" s="18">
        <v>1712.8059979281384</v>
      </c>
      <c r="O84" s="18">
        <v>1992.9044487044989</v>
      </c>
      <c r="P84" s="18">
        <v>1243.6200264311328</v>
      </c>
      <c r="Q84" s="18">
        <v>612.37067878621838</v>
      </c>
      <c r="R84" s="18">
        <v>543.45826199114231</v>
      </c>
      <c r="S84" s="18">
        <v>547.58325914540137</v>
      </c>
      <c r="U84" s="16" t="s">
        <v>34</v>
      </c>
      <c r="V84" s="17" t="s">
        <v>32</v>
      </c>
      <c r="W84" s="18">
        <f t="shared" si="43"/>
        <v>6619.63531633208</v>
      </c>
      <c r="X84" s="18">
        <f t="shared" si="38"/>
        <v>7997.6314289356105</v>
      </c>
      <c r="Y84" s="18">
        <f t="shared" si="39"/>
        <v>7247.5414676366026</v>
      </c>
      <c r="Z84" s="18">
        <f t="shared" si="40"/>
        <v>3310.0720150325183</v>
      </c>
      <c r="AA84" s="18">
        <f t="shared" si="41"/>
        <v>3019.5150031667163</v>
      </c>
      <c r="AB84" s="18">
        <f t="shared" si="42"/>
        <v>2844.090050986204</v>
      </c>
      <c r="AC84" s="19"/>
      <c r="AD84" s="20"/>
      <c r="AE84" s="15"/>
      <c r="AF84" s="30"/>
      <c r="AG84" s="30"/>
      <c r="AH84" s="30"/>
      <c r="AI84" s="30"/>
      <c r="AJ84" s="30"/>
      <c r="AK84" s="30"/>
      <c r="AL84" s="31"/>
      <c r="AM84" s="21"/>
      <c r="AN84" s="21"/>
      <c r="AO84" s="21"/>
      <c r="AP84" s="21"/>
      <c r="AQ84" s="21"/>
      <c r="AR84" s="21"/>
      <c r="AS84" s="21"/>
    </row>
    <row r="85" spans="1:86">
      <c r="C85" s="16" t="s">
        <v>35</v>
      </c>
      <c r="D85" s="17" t="s">
        <v>32</v>
      </c>
      <c r="E85" s="18">
        <v>6651.8720919609323</v>
      </c>
      <c r="F85" s="18">
        <v>7376.3896275226243</v>
      </c>
      <c r="G85" s="18">
        <v>6235.7653294944084</v>
      </c>
      <c r="H85" s="18">
        <v>5344.6182792107329</v>
      </c>
      <c r="I85" s="18">
        <v>4854.2759930547618</v>
      </c>
      <c r="J85" s="18">
        <v>4409.8867053549156</v>
      </c>
      <c r="L85" s="16" t="s">
        <v>35</v>
      </c>
      <c r="M85" s="17" t="s">
        <v>32</v>
      </c>
      <c r="N85" s="18">
        <v>634.39560714890035</v>
      </c>
      <c r="O85" s="18">
        <v>555.21973007932297</v>
      </c>
      <c r="P85" s="18">
        <v>412.48905421540837</v>
      </c>
      <c r="Q85" s="18">
        <v>420.04893101768488</v>
      </c>
      <c r="R85" s="18">
        <v>458.61554613779953</v>
      </c>
      <c r="S85" s="18">
        <v>469.76812094393102</v>
      </c>
      <c r="U85" s="16" t="s">
        <v>35</v>
      </c>
      <c r="V85" s="17" t="s">
        <v>32</v>
      </c>
      <c r="W85" s="18">
        <f t="shared" si="43"/>
        <v>7286.2676991098324</v>
      </c>
      <c r="X85" s="18">
        <f t="shared" si="38"/>
        <v>7931.6093576019475</v>
      </c>
      <c r="Y85" s="18">
        <f t="shared" si="39"/>
        <v>6648.2543837098165</v>
      </c>
      <c r="Z85" s="18">
        <f t="shared" si="40"/>
        <v>5764.6672102284174</v>
      </c>
      <c r="AA85" s="18">
        <f t="shared" si="41"/>
        <v>5312.8915391925611</v>
      </c>
      <c r="AB85" s="18">
        <f t="shared" si="42"/>
        <v>4879.6548262988463</v>
      </c>
      <c r="AC85" s="19"/>
      <c r="AD85" s="20"/>
      <c r="AE85" s="15"/>
      <c r="AF85" s="30"/>
      <c r="AG85" s="30"/>
      <c r="AH85" s="30"/>
      <c r="AI85" s="30"/>
      <c r="AJ85" s="30"/>
      <c r="AK85" s="30"/>
      <c r="AL85" s="31"/>
      <c r="AM85" s="21"/>
      <c r="AN85" s="21"/>
      <c r="AO85" s="21"/>
      <c r="AP85" s="21"/>
      <c r="AQ85" s="21"/>
      <c r="AR85" s="21"/>
      <c r="AS85" s="21"/>
    </row>
    <row r="86" spans="1:86">
      <c r="C86" s="16" t="s">
        <v>36</v>
      </c>
      <c r="D86" s="17" t="s">
        <v>32</v>
      </c>
      <c r="E86" s="18">
        <v>10128.424489145797</v>
      </c>
      <c r="F86" s="18">
        <v>10985.024079879515</v>
      </c>
      <c r="G86" s="18">
        <v>10344.016251069374</v>
      </c>
      <c r="H86" s="18">
        <v>10647.289832858154</v>
      </c>
      <c r="I86" s="18">
        <v>11717.715512347975</v>
      </c>
      <c r="J86" s="18">
        <v>11017.775362604625</v>
      </c>
      <c r="L86" s="16" t="s">
        <v>36</v>
      </c>
      <c r="M86" s="17" t="s">
        <v>32</v>
      </c>
      <c r="N86" s="18">
        <v>6670.1013029888072</v>
      </c>
      <c r="O86" s="18">
        <v>6290.984471959684</v>
      </c>
      <c r="P86" s="18">
        <v>6318.279779933544</v>
      </c>
      <c r="Q86" s="18">
        <v>6311.3828479073654</v>
      </c>
      <c r="R86" s="18">
        <v>6549.3620839292398</v>
      </c>
      <c r="S86" s="18">
        <v>6315.7125074128899</v>
      </c>
      <c r="U86" s="16" t="s">
        <v>36</v>
      </c>
      <c r="V86" s="17" t="s">
        <v>32</v>
      </c>
      <c r="W86" s="18">
        <f t="shared" si="43"/>
        <v>16798.525792134606</v>
      </c>
      <c r="X86" s="18">
        <f t="shared" si="38"/>
        <v>17276.008551839201</v>
      </c>
      <c r="Y86" s="18">
        <f t="shared" si="39"/>
        <v>16662.296031002916</v>
      </c>
      <c r="Z86" s="18">
        <f t="shared" si="40"/>
        <v>16958.672680765521</v>
      </c>
      <c r="AA86" s="18">
        <f t="shared" si="41"/>
        <v>18267.077596277217</v>
      </c>
      <c r="AB86" s="18">
        <f t="shared" si="42"/>
        <v>17333.487870017514</v>
      </c>
      <c r="AC86" s="19"/>
      <c r="AD86" s="20"/>
      <c r="AE86" s="15"/>
      <c r="AF86" s="30"/>
      <c r="AG86" s="30"/>
      <c r="AH86" s="30"/>
      <c r="AI86" s="30"/>
      <c r="AJ86" s="30"/>
      <c r="AK86" s="30"/>
      <c r="AL86" s="31"/>
      <c r="AM86" s="21"/>
      <c r="AN86" s="21"/>
      <c r="AO86" s="21"/>
      <c r="AP86" s="21"/>
      <c r="AQ86" s="21"/>
      <c r="AR86" s="21"/>
      <c r="AS86" s="21"/>
    </row>
    <row r="87" spans="1:86">
      <c r="C87" s="16" t="s">
        <v>37</v>
      </c>
      <c r="D87" s="17" t="s">
        <v>32</v>
      </c>
      <c r="E87" s="18">
        <v>339.44682723134633</v>
      </c>
      <c r="F87" s="18">
        <v>523.60304893161833</v>
      </c>
      <c r="G87" s="18">
        <v>605.13986664448908</v>
      </c>
      <c r="H87" s="18">
        <v>432.04044660876798</v>
      </c>
      <c r="I87" s="18">
        <v>508.23986827299564</v>
      </c>
      <c r="J87" s="18">
        <v>428.38417202084486</v>
      </c>
      <c r="L87" s="16" t="s">
        <v>37</v>
      </c>
      <c r="M87" s="17" t="s">
        <v>32</v>
      </c>
      <c r="N87" s="18">
        <v>426.17431697472546</v>
      </c>
      <c r="O87" s="18">
        <v>477.6493709045306</v>
      </c>
      <c r="P87" s="18">
        <v>533.78461026657919</v>
      </c>
      <c r="Q87" s="18">
        <v>325.37666288819946</v>
      </c>
      <c r="R87" s="18">
        <v>244.6353086200474</v>
      </c>
      <c r="S87" s="18">
        <v>399.47981016998216</v>
      </c>
      <c r="U87" s="16" t="s">
        <v>37</v>
      </c>
      <c r="V87" s="17" t="s">
        <v>32</v>
      </c>
      <c r="W87" s="18">
        <f t="shared" si="43"/>
        <v>765.62114420607179</v>
      </c>
      <c r="X87" s="18">
        <f t="shared" si="38"/>
        <v>1001.2524198361489</v>
      </c>
      <c r="Y87" s="18">
        <f t="shared" si="39"/>
        <v>1138.9244769110683</v>
      </c>
      <c r="Z87" s="18">
        <f t="shared" si="40"/>
        <v>757.41710949696744</v>
      </c>
      <c r="AA87" s="18">
        <f t="shared" si="41"/>
        <v>752.87517689304309</v>
      </c>
      <c r="AB87" s="18">
        <f t="shared" si="42"/>
        <v>827.86398219082707</v>
      </c>
      <c r="AC87" s="19"/>
      <c r="AD87" s="20"/>
      <c r="AE87" s="15"/>
      <c r="AF87" s="30"/>
      <c r="AG87" s="30"/>
      <c r="AH87" s="30"/>
      <c r="AI87" s="30"/>
      <c r="AJ87" s="30"/>
      <c r="AK87" s="30"/>
      <c r="AL87" s="31"/>
      <c r="AM87" s="21"/>
      <c r="AN87" s="21"/>
      <c r="AO87" s="21"/>
      <c r="AP87" s="21"/>
      <c r="AQ87" s="21"/>
      <c r="AR87" s="21"/>
      <c r="AS87" s="21"/>
    </row>
    <row r="88" spans="1:86">
      <c r="C88" s="16" t="s">
        <v>38</v>
      </c>
      <c r="D88" s="17" t="s">
        <v>32</v>
      </c>
      <c r="E88" s="18">
        <v>1228.194258827773</v>
      </c>
      <c r="F88" s="18">
        <v>1623.6847727709196</v>
      </c>
      <c r="G88" s="18">
        <v>1690.4205109618938</v>
      </c>
      <c r="H88" s="18">
        <v>1709.0661233420537</v>
      </c>
      <c r="I88" s="18">
        <v>1597.391507130528</v>
      </c>
      <c r="J88" s="18">
        <v>1611.4566698835079</v>
      </c>
      <c r="L88" s="16" t="s">
        <v>38</v>
      </c>
      <c r="M88" s="17" t="s">
        <v>32</v>
      </c>
      <c r="N88" s="18">
        <v>1813.4736445007748</v>
      </c>
      <c r="O88" s="18">
        <v>2250.1564850669438</v>
      </c>
      <c r="P88" s="18">
        <v>2334.4512135694122</v>
      </c>
      <c r="Q88" s="18">
        <v>2215.5437194940096</v>
      </c>
      <c r="R88" s="18">
        <v>2284.3319369550372</v>
      </c>
      <c r="S88" s="18">
        <v>2497.2547631441653</v>
      </c>
      <c r="U88" s="16" t="s">
        <v>38</v>
      </c>
      <c r="V88" s="17" t="s">
        <v>32</v>
      </c>
      <c r="W88" s="18">
        <f t="shared" si="43"/>
        <v>3041.6679033285477</v>
      </c>
      <c r="X88" s="18">
        <f t="shared" si="38"/>
        <v>3873.8412578378634</v>
      </c>
      <c r="Y88" s="18">
        <f t="shared" si="39"/>
        <v>4024.871724531306</v>
      </c>
      <c r="Z88" s="18">
        <f t="shared" si="40"/>
        <v>3924.6098428360633</v>
      </c>
      <c r="AA88" s="18">
        <f t="shared" si="41"/>
        <v>3881.7234440855655</v>
      </c>
      <c r="AB88" s="18">
        <f t="shared" si="42"/>
        <v>4108.7114330276727</v>
      </c>
      <c r="AC88" s="19"/>
      <c r="AD88" s="20"/>
      <c r="AE88" s="15"/>
      <c r="AF88" s="30"/>
      <c r="AG88" s="30"/>
      <c r="AH88" s="30"/>
      <c r="AI88" s="30"/>
      <c r="AJ88" s="30"/>
      <c r="AK88" s="30"/>
      <c r="AL88" s="31"/>
      <c r="AM88" s="21"/>
      <c r="AN88" s="21"/>
      <c r="AO88" s="21"/>
      <c r="AP88" s="21"/>
      <c r="AQ88" s="21"/>
      <c r="AR88" s="21"/>
      <c r="AS88" s="21"/>
    </row>
    <row r="89" spans="1:86">
      <c r="C89" s="16" t="s">
        <v>39</v>
      </c>
      <c r="D89" s="17" t="s">
        <v>32</v>
      </c>
      <c r="E89" s="18">
        <v>0</v>
      </c>
      <c r="F89" s="18">
        <v>0</v>
      </c>
      <c r="G89" s="18">
        <v>0</v>
      </c>
      <c r="H89" s="18">
        <v>0</v>
      </c>
      <c r="I89" s="18">
        <v>0</v>
      </c>
      <c r="J89" s="18">
        <v>0</v>
      </c>
      <c r="L89" s="16" t="s">
        <v>39</v>
      </c>
      <c r="M89" s="17" t="s">
        <v>32</v>
      </c>
      <c r="N89" s="18">
        <v>0</v>
      </c>
      <c r="O89" s="18">
        <v>0</v>
      </c>
      <c r="P89" s="18">
        <v>0</v>
      </c>
      <c r="Q89" s="18">
        <v>0</v>
      </c>
      <c r="R89" s="18">
        <v>0</v>
      </c>
      <c r="S89" s="18">
        <v>0</v>
      </c>
      <c r="U89" s="16" t="s">
        <v>39</v>
      </c>
      <c r="V89" s="17" t="s">
        <v>32</v>
      </c>
      <c r="W89" s="18">
        <f t="shared" si="43"/>
        <v>0</v>
      </c>
      <c r="X89" s="18">
        <f t="shared" si="38"/>
        <v>0</v>
      </c>
      <c r="Y89" s="18">
        <f t="shared" si="39"/>
        <v>0</v>
      </c>
      <c r="Z89" s="18">
        <f t="shared" si="40"/>
        <v>0</v>
      </c>
      <c r="AA89" s="18">
        <f t="shared" si="41"/>
        <v>0</v>
      </c>
      <c r="AB89" s="18">
        <f t="shared" si="42"/>
        <v>0</v>
      </c>
      <c r="AC89" s="19"/>
      <c r="AD89" s="20"/>
      <c r="AE89" s="15"/>
      <c r="AF89" s="30"/>
      <c r="AG89" s="30"/>
      <c r="AH89" s="30"/>
      <c r="AI89" s="30"/>
      <c r="AJ89" s="30"/>
      <c r="AK89" s="30"/>
      <c r="AL89" s="31"/>
      <c r="AM89" s="21"/>
      <c r="AN89" s="21"/>
      <c r="AO89" s="21"/>
      <c r="AP89" s="21"/>
      <c r="AQ89" s="21"/>
      <c r="AR89" s="21"/>
      <c r="AS89" s="21"/>
    </row>
    <row r="90" spans="1:86">
      <c r="A90" s="22"/>
      <c r="C90" s="23" t="s">
        <v>40</v>
      </c>
      <c r="D90" s="17" t="s">
        <v>32</v>
      </c>
      <c r="E90" s="24">
        <v>26763.463940999536</v>
      </c>
      <c r="F90" s="24">
        <v>29674.851988545266</v>
      </c>
      <c r="G90" s="24">
        <v>28416.555067214649</v>
      </c>
      <c r="H90" s="24">
        <v>24440.470643110926</v>
      </c>
      <c r="I90" s="24">
        <v>24599.459138633174</v>
      </c>
      <c r="J90" s="24">
        <v>23186.337249309847</v>
      </c>
      <c r="L90" s="23" t="s">
        <v>40</v>
      </c>
      <c r="M90" s="17" t="s">
        <v>32</v>
      </c>
      <c r="N90" s="24">
        <v>12899.0355013359</v>
      </c>
      <c r="O90" s="24">
        <v>13187.833723681382</v>
      </c>
      <c r="P90" s="24">
        <v>12606.240107526683</v>
      </c>
      <c r="Q90" s="24">
        <v>11735.466640371349</v>
      </c>
      <c r="R90" s="24">
        <v>11941.292648221817</v>
      </c>
      <c r="S90" s="24">
        <v>12078.349514656617</v>
      </c>
      <c r="U90" s="23" t="s">
        <v>40</v>
      </c>
      <c r="V90" s="17" t="s">
        <v>32</v>
      </c>
      <c r="W90" s="24">
        <f>SUM(W82:W89)</f>
        <v>39662.499442335436</v>
      </c>
      <c r="X90" s="24">
        <f t="shared" ref="X90:AB90" si="44">SUM(X82:X89)</f>
        <v>42862.685712226652</v>
      </c>
      <c r="Y90" s="24">
        <f t="shared" si="44"/>
        <v>41022.795174741339</v>
      </c>
      <c r="Z90" s="24">
        <f t="shared" si="44"/>
        <v>36175.937283482279</v>
      </c>
      <c r="AA90" s="24">
        <f t="shared" si="44"/>
        <v>36540.751786854998</v>
      </c>
      <c r="AB90" s="24">
        <f t="shared" si="44"/>
        <v>35264.686763966463</v>
      </c>
      <c r="AC90" s="25"/>
      <c r="AD90" s="26"/>
      <c r="AE90" s="15"/>
      <c r="AF90" s="32"/>
      <c r="AG90" s="32"/>
      <c r="AH90" s="32"/>
      <c r="AI90" s="32"/>
      <c r="AJ90" s="32"/>
      <c r="AK90" s="32"/>
      <c r="AL90" s="33"/>
      <c r="AM90" s="27"/>
      <c r="AN90" s="27"/>
      <c r="AO90" s="27"/>
      <c r="AP90" s="27"/>
      <c r="AQ90" s="27"/>
      <c r="AR90" s="27"/>
      <c r="AS90" s="27"/>
    </row>
    <row r="92" spans="1:86">
      <c r="C92" s="9" t="s">
        <v>21</v>
      </c>
      <c r="D92" s="9"/>
      <c r="E92" s="9"/>
      <c r="F92" s="9"/>
      <c r="G92" s="9"/>
      <c r="H92" s="9"/>
      <c r="I92" s="9"/>
      <c r="J92" s="9"/>
      <c r="L92" s="9" t="s">
        <v>21</v>
      </c>
      <c r="M92" s="9"/>
      <c r="N92" s="9"/>
      <c r="O92" s="9"/>
      <c r="P92" s="9"/>
      <c r="Q92" s="9"/>
      <c r="R92" s="9"/>
      <c r="S92" s="9"/>
      <c r="U92" s="9" t="s">
        <v>21</v>
      </c>
      <c r="V92" s="9"/>
      <c r="W92" s="9"/>
      <c r="X92" s="9"/>
      <c r="Y92" s="9"/>
      <c r="Z92" s="9"/>
      <c r="AA92" s="9"/>
      <c r="AB92" s="9"/>
      <c r="AC92" s="8"/>
      <c r="AD92" s="10"/>
      <c r="AE92" s="10"/>
      <c r="AF92" s="10"/>
      <c r="AG92" s="10"/>
      <c r="AH92" s="10"/>
      <c r="AI92" s="10"/>
      <c r="AJ92" s="10"/>
      <c r="AK92" s="10"/>
      <c r="AL92" s="8"/>
      <c r="AM92" s="10"/>
      <c r="AN92" s="10"/>
      <c r="AO92" s="10"/>
      <c r="AP92" s="10"/>
      <c r="AQ92" s="10"/>
      <c r="AR92" s="10"/>
      <c r="AS92" s="10"/>
    </row>
    <row r="93" spans="1:86" s="15" customFormat="1">
      <c r="A93" s="11"/>
      <c r="B93" s="11"/>
      <c r="C93" s="60"/>
      <c r="D93" s="60" t="s">
        <v>11</v>
      </c>
      <c r="E93" s="61">
        <v>2020</v>
      </c>
      <c r="F93" s="61">
        <v>2021</v>
      </c>
      <c r="G93" s="61">
        <v>2022</v>
      </c>
      <c r="H93" s="61">
        <v>2023</v>
      </c>
      <c r="I93" s="61">
        <v>2024</v>
      </c>
      <c r="J93" s="61">
        <v>2025</v>
      </c>
      <c r="K93" s="11"/>
      <c r="L93" s="60"/>
      <c r="M93" s="60" t="s">
        <v>11</v>
      </c>
      <c r="N93" s="61">
        <v>2020</v>
      </c>
      <c r="O93" s="61">
        <v>2021</v>
      </c>
      <c r="P93" s="61">
        <v>2022</v>
      </c>
      <c r="Q93" s="61">
        <v>2023</v>
      </c>
      <c r="R93" s="61">
        <v>2024</v>
      </c>
      <c r="S93" s="61">
        <v>2025</v>
      </c>
      <c r="T93" s="11"/>
      <c r="U93" s="60"/>
      <c r="V93" s="60" t="s">
        <v>11</v>
      </c>
      <c r="W93" s="61">
        <v>2020</v>
      </c>
      <c r="X93" s="61">
        <v>2021</v>
      </c>
      <c r="Y93" s="61">
        <v>2022</v>
      </c>
      <c r="Z93" s="61">
        <v>2023</v>
      </c>
      <c r="AA93" s="61">
        <v>2024</v>
      </c>
      <c r="AB93" s="61">
        <v>2025</v>
      </c>
      <c r="AC93" s="12"/>
      <c r="AD93" s="11"/>
      <c r="AE93" s="11"/>
      <c r="AF93" s="13"/>
      <c r="AG93" s="13"/>
      <c r="AH93" s="13"/>
      <c r="AI93" s="13"/>
      <c r="AJ93" s="13"/>
      <c r="AK93" s="13"/>
      <c r="AL93" s="12"/>
      <c r="AM93" s="13"/>
      <c r="AN93" s="13"/>
      <c r="AO93" s="13"/>
      <c r="AP93" s="13"/>
      <c r="AQ93" s="13"/>
      <c r="AR93" s="13"/>
      <c r="AS93" s="13"/>
      <c r="AT93" s="11"/>
      <c r="AU93" s="11"/>
      <c r="AV93" s="11"/>
      <c r="AW93" s="11"/>
      <c r="AX93" s="11"/>
      <c r="AY93" s="11"/>
      <c r="AZ93" s="11"/>
      <c r="BA93" s="11"/>
      <c r="BB93" s="11"/>
      <c r="BC93" s="11"/>
      <c r="BD93" s="14"/>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row>
    <row r="94" spans="1:86">
      <c r="A94" s="11"/>
      <c r="B94" s="11"/>
      <c r="C94" s="16" t="s">
        <v>31</v>
      </c>
      <c r="D94" s="17" t="s">
        <v>32</v>
      </c>
      <c r="E94" s="18">
        <v>277.05220118463166</v>
      </c>
      <c r="F94" s="18">
        <v>318.17011637801789</v>
      </c>
      <c r="G94" s="18">
        <v>324.10863046444609</v>
      </c>
      <c r="H94" s="18">
        <v>238.25389873612514</v>
      </c>
      <c r="I94" s="18">
        <v>300.6790335636959</v>
      </c>
      <c r="J94" s="18">
        <v>331.50504620125463</v>
      </c>
      <c r="K94" s="11"/>
      <c r="L94" s="16" t="s">
        <v>31</v>
      </c>
      <c r="M94" s="17" t="s">
        <v>32</v>
      </c>
      <c r="N94" s="18">
        <v>890.0720064406662</v>
      </c>
      <c r="O94" s="18">
        <v>900.04511274346248</v>
      </c>
      <c r="P94" s="18">
        <v>882.60719143470806</v>
      </c>
      <c r="Q94" s="18">
        <v>752.19249642992872</v>
      </c>
      <c r="R94" s="18">
        <v>830.82831804422244</v>
      </c>
      <c r="S94" s="18">
        <v>897.79490827405289</v>
      </c>
      <c r="T94" s="11"/>
      <c r="U94" s="16" t="s">
        <v>31</v>
      </c>
      <c r="V94" s="17" t="s">
        <v>32</v>
      </c>
      <c r="W94" s="18">
        <f>E94+N94</f>
        <v>1167.1242076252979</v>
      </c>
      <c r="X94" s="18">
        <f t="shared" ref="X94:X101" si="45">F94+O94</f>
        <v>1218.2152291214804</v>
      </c>
      <c r="Y94" s="18">
        <f t="shared" ref="Y94:Y101" si="46">G94+P94</f>
        <v>1206.7158218991542</v>
      </c>
      <c r="Z94" s="18">
        <f t="shared" ref="Z94:Z101" si="47">H94+Q94</f>
        <v>990.44639516605389</v>
      </c>
      <c r="AA94" s="18">
        <f t="shared" ref="AA94:AA101" si="48">I94+R94</f>
        <v>1131.5073516079183</v>
      </c>
      <c r="AB94" s="18">
        <f t="shared" ref="AB94:AB101" si="49">J94+S94</f>
        <v>1229.2999544753075</v>
      </c>
      <c r="AC94" s="19"/>
      <c r="AD94" s="20"/>
      <c r="AE94" s="15"/>
      <c r="AF94" s="21"/>
      <c r="AG94" s="21"/>
      <c r="AH94" s="21"/>
      <c r="AI94" s="21"/>
      <c r="AJ94" s="21"/>
      <c r="AK94" s="21"/>
      <c r="AL94" s="19"/>
      <c r="AM94" s="21"/>
      <c r="AN94" s="21"/>
      <c r="AO94" s="21"/>
      <c r="AP94" s="21"/>
      <c r="AQ94" s="21"/>
      <c r="AR94" s="21"/>
      <c r="AS94" s="21"/>
      <c r="AT94" s="11"/>
      <c r="AU94" s="11"/>
      <c r="AV94" s="11"/>
      <c r="AW94" s="11"/>
      <c r="AX94" s="11"/>
      <c r="AY94" s="11"/>
      <c r="AZ94" s="11"/>
      <c r="BA94" s="11"/>
      <c r="BB94" s="11"/>
      <c r="BC94" s="11"/>
      <c r="BD94" s="14"/>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row>
    <row r="95" spans="1:86">
      <c r="C95" s="16" t="s">
        <v>33</v>
      </c>
      <c r="D95" s="17" t="s">
        <v>32</v>
      </c>
      <c r="E95" s="18">
        <v>84.531956517439156</v>
      </c>
      <c r="F95" s="18">
        <v>90.939304737075332</v>
      </c>
      <c r="G95" s="18">
        <v>170.98355521269875</v>
      </c>
      <c r="H95" s="18">
        <v>161.47744145227665</v>
      </c>
      <c r="I95" s="18">
        <v>113.86178588054398</v>
      </c>
      <c r="J95" s="18">
        <v>126.75958318192389</v>
      </c>
      <c r="L95" s="16" t="s">
        <v>33</v>
      </c>
      <c r="M95" s="17" t="s">
        <v>32</v>
      </c>
      <c r="N95" s="18">
        <v>1042.8708823810125</v>
      </c>
      <c r="O95" s="18">
        <v>1099.638266629589</v>
      </c>
      <c r="P95" s="18">
        <v>1337.074755207268</v>
      </c>
      <c r="Q95" s="18">
        <v>1261.9475179601914</v>
      </c>
      <c r="R95" s="18">
        <v>1383.9223160979275</v>
      </c>
      <c r="S95" s="18">
        <v>1558.9833437590646</v>
      </c>
      <c r="U95" s="16" t="s">
        <v>33</v>
      </c>
      <c r="V95" s="17" t="s">
        <v>32</v>
      </c>
      <c r="W95" s="18">
        <f t="shared" ref="W95:W101" si="50">E95+N95</f>
        <v>1127.4028388984516</v>
      </c>
      <c r="X95" s="18">
        <f t="shared" si="45"/>
        <v>1190.5775713666644</v>
      </c>
      <c r="Y95" s="18">
        <f t="shared" si="46"/>
        <v>1508.0583104199668</v>
      </c>
      <c r="Z95" s="18">
        <f t="shared" si="47"/>
        <v>1423.4249594124681</v>
      </c>
      <c r="AA95" s="18">
        <f t="shared" si="48"/>
        <v>1497.7841019784714</v>
      </c>
      <c r="AB95" s="18">
        <f t="shared" si="49"/>
        <v>1685.7429269409886</v>
      </c>
      <c r="AC95" s="19"/>
      <c r="AD95" s="20"/>
      <c r="AE95" s="15"/>
      <c r="AF95" s="21"/>
      <c r="AG95" s="21"/>
      <c r="AH95" s="21"/>
      <c r="AI95" s="21"/>
      <c r="AJ95" s="21"/>
      <c r="AK95" s="21"/>
      <c r="AL95" s="19"/>
      <c r="AM95" s="21"/>
      <c r="AN95" s="21"/>
      <c r="AO95" s="21"/>
      <c r="AP95" s="21"/>
      <c r="AQ95" s="21"/>
      <c r="AR95" s="21"/>
      <c r="AS95" s="21"/>
    </row>
    <row r="96" spans="1:86">
      <c r="C96" s="16" t="s">
        <v>34</v>
      </c>
      <c r="D96" s="17" t="s">
        <v>32</v>
      </c>
      <c r="E96" s="18">
        <v>411.16517724343333</v>
      </c>
      <c r="F96" s="18">
        <v>425.37190210280107</v>
      </c>
      <c r="G96" s="18">
        <v>451.22085034544608</v>
      </c>
      <c r="H96" s="18">
        <v>443.25550798170246</v>
      </c>
      <c r="I96" s="18">
        <v>416.94891502494596</v>
      </c>
      <c r="J96" s="18">
        <v>476.52749392621826</v>
      </c>
      <c r="L96" s="16" t="s">
        <v>34</v>
      </c>
      <c r="M96" s="17" t="s">
        <v>32</v>
      </c>
      <c r="N96" s="18">
        <v>509.75982068149199</v>
      </c>
      <c r="O96" s="18">
        <v>644.16615208553617</v>
      </c>
      <c r="P96" s="18">
        <v>545.0605224771773</v>
      </c>
      <c r="Q96" s="18">
        <v>463.43524847160239</v>
      </c>
      <c r="R96" s="18">
        <v>420.50620408457763</v>
      </c>
      <c r="S96" s="18">
        <v>501.36640488188516</v>
      </c>
      <c r="U96" s="16" t="s">
        <v>34</v>
      </c>
      <c r="V96" s="17" t="s">
        <v>32</v>
      </c>
      <c r="W96" s="18">
        <f t="shared" si="50"/>
        <v>920.92499792492526</v>
      </c>
      <c r="X96" s="18">
        <f t="shared" si="45"/>
        <v>1069.5380541883374</v>
      </c>
      <c r="Y96" s="18">
        <f t="shared" si="46"/>
        <v>996.28137282262333</v>
      </c>
      <c r="Z96" s="18">
        <f t="shared" si="47"/>
        <v>906.69075645330486</v>
      </c>
      <c r="AA96" s="18">
        <f t="shared" si="48"/>
        <v>837.45511910952359</v>
      </c>
      <c r="AB96" s="18">
        <f t="shared" si="49"/>
        <v>977.89389880810336</v>
      </c>
      <c r="AC96" s="19"/>
      <c r="AD96" s="20"/>
      <c r="AE96" s="15"/>
      <c r="AF96" s="21"/>
      <c r="AG96" s="21"/>
      <c r="AH96" s="21"/>
      <c r="AI96" s="21"/>
      <c r="AJ96" s="21"/>
      <c r="AK96" s="21"/>
      <c r="AL96" s="19"/>
      <c r="AM96" s="21"/>
      <c r="AN96" s="21"/>
      <c r="AO96" s="21"/>
      <c r="AP96" s="21"/>
      <c r="AQ96" s="21"/>
      <c r="AR96" s="21"/>
      <c r="AS96" s="21"/>
    </row>
    <row r="97" spans="1:86">
      <c r="C97" s="16" t="s">
        <v>35</v>
      </c>
      <c r="D97" s="17" t="s">
        <v>32</v>
      </c>
      <c r="E97" s="18">
        <v>657.86535519623305</v>
      </c>
      <c r="F97" s="18">
        <v>650.50966942224898</v>
      </c>
      <c r="G97" s="18">
        <v>671.47953971833181</v>
      </c>
      <c r="H97" s="18">
        <v>652.89947527029506</v>
      </c>
      <c r="I97" s="18">
        <v>630.15713154835112</v>
      </c>
      <c r="J97" s="18">
        <v>648.4165505444181</v>
      </c>
      <c r="L97" s="16" t="s">
        <v>35</v>
      </c>
      <c r="M97" s="17" t="s">
        <v>32</v>
      </c>
      <c r="N97" s="18">
        <v>3757.3907296252528</v>
      </c>
      <c r="O97" s="18">
        <v>3844.595167974423</v>
      </c>
      <c r="P97" s="18">
        <v>3732.7426012156948</v>
      </c>
      <c r="Q97" s="18">
        <v>3578.0884028680862</v>
      </c>
      <c r="R97" s="18">
        <v>3301.2912718989837</v>
      </c>
      <c r="S97" s="18">
        <v>3343.063887013283</v>
      </c>
      <c r="T97" s="34"/>
      <c r="U97" s="16" t="s">
        <v>35</v>
      </c>
      <c r="V97" s="17" t="s">
        <v>32</v>
      </c>
      <c r="W97" s="18">
        <f t="shared" si="50"/>
        <v>4415.2560848214862</v>
      </c>
      <c r="X97" s="18">
        <f t="shared" si="45"/>
        <v>4495.1048373966723</v>
      </c>
      <c r="Y97" s="18">
        <f t="shared" si="46"/>
        <v>4404.2221409340264</v>
      </c>
      <c r="Z97" s="18">
        <f t="shared" si="47"/>
        <v>4230.9878781383813</v>
      </c>
      <c r="AA97" s="18">
        <f t="shared" si="48"/>
        <v>3931.4484034473348</v>
      </c>
      <c r="AB97" s="18">
        <f t="shared" si="49"/>
        <v>3991.480437557701</v>
      </c>
      <c r="AC97" s="19"/>
      <c r="AD97" s="20"/>
      <c r="AE97" s="15"/>
      <c r="AF97" s="21"/>
      <c r="AG97" s="21"/>
      <c r="AH97" s="21"/>
      <c r="AI97" s="21"/>
      <c r="AJ97" s="21"/>
      <c r="AK97" s="21"/>
      <c r="AL97" s="19"/>
      <c r="AM97" s="21"/>
      <c r="AN97" s="21"/>
      <c r="AO97" s="21"/>
      <c r="AP97" s="21"/>
      <c r="AQ97" s="21"/>
      <c r="AR97" s="21"/>
      <c r="AS97" s="21"/>
    </row>
    <row r="98" spans="1:86">
      <c r="C98" s="16" t="s">
        <v>36</v>
      </c>
      <c r="D98" s="17" t="s">
        <v>32</v>
      </c>
      <c r="E98" s="18">
        <v>77.409937182064184</v>
      </c>
      <c r="F98" s="18">
        <v>80.004452196196766</v>
      </c>
      <c r="G98" s="18">
        <v>65.367097627814857</v>
      </c>
      <c r="H98" s="18">
        <v>52.702197223147159</v>
      </c>
      <c r="I98" s="18">
        <v>47.146966767132781</v>
      </c>
      <c r="J98" s="18">
        <v>54.041238649308518</v>
      </c>
      <c r="L98" s="16" t="s">
        <v>36</v>
      </c>
      <c r="M98" s="17" t="s">
        <v>32</v>
      </c>
      <c r="N98" s="18">
        <v>218.65956596951824</v>
      </c>
      <c r="O98" s="18">
        <v>237.4015290728214</v>
      </c>
      <c r="P98" s="18">
        <v>272.18117172778017</v>
      </c>
      <c r="Q98" s="18">
        <v>237.92051783419834</v>
      </c>
      <c r="R98" s="18">
        <v>203.16280723355152</v>
      </c>
      <c r="S98" s="18">
        <v>210.71966820857691</v>
      </c>
      <c r="U98" s="16" t="s">
        <v>36</v>
      </c>
      <c r="V98" s="17" t="s">
        <v>32</v>
      </c>
      <c r="W98" s="18">
        <f t="shared" si="50"/>
        <v>296.06950315158241</v>
      </c>
      <c r="X98" s="18">
        <f t="shared" si="45"/>
        <v>317.40598126901818</v>
      </c>
      <c r="Y98" s="18">
        <f t="shared" si="46"/>
        <v>337.54826935559504</v>
      </c>
      <c r="Z98" s="18">
        <f t="shared" si="47"/>
        <v>290.62271505734549</v>
      </c>
      <c r="AA98" s="18">
        <f t="shared" si="48"/>
        <v>250.30977400068429</v>
      </c>
      <c r="AB98" s="18">
        <f t="shared" si="49"/>
        <v>264.7609068578854</v>
      </c>
      <c r="AC98" s="19"/>
      <c r="AD98" s="20"/>
      <c r="AE98" s="15"/>
      <c r="AF98" s="21"/>
      <c r="AG98" s="21"/>
      <c r="AH98" s="21"/>
      <c r="AI98" s="21"/>
      <c r="AJ98" s="21"/>
      <c r="AK98" s="21"/>
      <c r="AL98" s="19"/>
      <c r="AM98" s="21"/>
      <c r="AN98" s="21"/>
      <c r="AO98" s="21"/>
      <c r="AP98" s="21"/>
      <c r="AQ98" s="21"/>
      <c r="AR98" s="21"/>
      <c r="AS98" s="21"/>
    </row>
    <row r="99" spans="1:86">
      <c r="C99" s="16" t="s">
        <v>37</v>
      </c>
      <c r="D99" s="17" t="s">
        <v>32</v>
      </c>
      <c r="E99" s="18">
        <v>157.36469980642056</v>
      </c>
      <c r="F99" s="18">
        <v>155.86380406643843</v>
      </c>
      <c r="G99" s="18">
        <v>154.39149181980036</v>
      </c>
      <c r="H99" s="18">
        <v>154.695579821405</v>
      </c>
      <c r="I99" s="18">
        <v>139.6432885737706</v>
      </c>
      <c r="J99" s="18">
        <v>148.4158364291539</v>
      </c>
      <c r="L99" s="16" t="s">
        <v>37</v>
      </c>
      <c r="M99" s="17" t="s">
        <v>32</v>
      </c>
      <c r="N99" s="18">
        <v>355.92297395847788</v>
      </c>
      <c r="O99" s="18">
        <v>241.70021570181737</v>
      </c>
      <c r="P99" s="18">
        <v>210.16672907219964</v>
      </c>
      <c r="Q99" s="18">
        <v>184.23566531255355</v>
      </c>
      <c r="R99" s="18">
        <v>149.89969735380845</v>
      </c>
      <c r="S99" s="18">
        <v>180.46434749069752</v>
      </c>
      <c r="U99" s="16" t="s">
        <v>37</v>
      </c>
      <c r="V99" s="17" t="s">
        <v>32</v>
      </c>
      <c r="W99" s="18">
        <f t="shared" si="50"/>
        <v>513.2876737648985</v>
      </c>
      <c r="X99" s="18">
        <f t="shared" si="45"/>
        <v>397.56401976825578</v>
      </c>
      <c r="Y99" s="18">
        <f t="shared" si="46"/>
        <v>364.55822089200001</v>
      </c>
      <c r="Z99" s="18">
        <f t="shared" si="47"/>
        <v>338.93124513395856</v>
      </c>
      <c r="AA99" s="18">
        <f t="shared" si="48"/>
        <v>289.54298592757902</v>
      </c>
      <c r="AB99" s="18">
        <f t="shared" si="49"/>
        <v>328.88018391985145</v>
      </c>
      <c r="AC99" s="19"/>
      <c r="AD99" s="20"/>
      <c r="AE99" s="15"/>
      <c r="AF99" s="21"/>
      <c r="AG99" s="21"/>
      <c r="AH99" s="21"/>
      <c r="AI99" s="21"/>
      <c r="AJ99" s="21"/>
      <c r="AK99" s="21"/>
      <c r="AL99" s="19"/>
      <c r="AM99" s="21"/>
      <c r="AN99" s="21"/>
      <c r="AO99" s="21"/>
      <c r="AP99" s="21"/>
      <c r="AQ99" s="21"/>
      <c r="AR99" s="21"/>
      <c r="AS99" s="21"/>
    </row>
    <row r="100" spans="1:86">
      <c r="C100" s="16" t="s">
        <v>38</v>
      </c>
      <c r="D100" s="17" t="s">
        <v>32</v>
      </c>
      <c r="E100" s="18">
        <v>226.8633993663303</v>
      </c>
      <c r="F100" s="18">
        <v>220.35003565144132</v>
      </c>
      <c r="G100" s="18">
        <v>226.55285081938135</v>
      </c>
      <c r="H100" s="18">
        <v>224.20186820330656</v>
      </c>
      <c r="I100" s="18">
        <v>231.20476006617477</v>
      </c>
      <c r="J100" s="18">
        <v>239.32789893875918</v>
      </c>
      <c r="L100" s="16" t="s">
        <v>38</v>
      </c>
      <c r="M100" s="17" t="s">
        <v>32</v>
      </c>
      <c r="N100" s="18">
        <v>755.49307400015641</v>
      </c>
      <c r="O100" s="18">
        <v>796.32449703539203</v>
      </c>
      <c r="P100" s="18">
        <v>750.77277302068478</v>
      </c>
      <c r="Q100" s="18">
        <v>586.39103086011244</v>
      </c>
      <c r="R100" s="18">
        <v>591.45716739682598</v>
      </c>
      <c r="S100" s="18">
        <v>601.52557009122404</v>
      </c>
      <c r="U100" s="16" t="s">
        <v>38</v>
      </c>
      <c r="V100" s="17" t="s">
        <v>32</v>
      </c>
      <c r="W100" s="18">
        <f t="shared" si="50"/>
        <v>982.35647336648674</v>
      </c>
      <c r="X100" s="18">
        <f t="shared" si="45"/>
        <v>1016.6745326868333</v>
      </c>
      <c r="Y100" s="18">
        <f t="shared" si="46"/>
        <v>977.3256238400661</v>
      </c>
      <c r="Z100" s="18">
        <f t="shared" si="47"/>
        <v>810.59289906341905</v>
      </c>
      <c r="AA100" s="18">
        <f t="shared" si="48"/>
        <v>822.66192746300078</v>
      </c>
      <c r="AB100" s="18">
        <f t="shared" si="49"/>
        <v>840.85346902998322</v>
      </c>
      <c r="AC100" s="19"/>
      <c r="AD100" s="20"/>
      <c r="AE100" s="15"/>
      <c r="AF100" s="21"/>
      <c r="AG100" s="21"/>
      <c r="AH100" s="21"/>
      <c r="AI100" s="21"/>
      <c r="AJ100" s="21"/>
      <c r="AK100" s="21"/>
      <c r="AL100" s="19"/>
      <c r="AM100" s="21"/>
      <c r="AN100" s="21"/>
      <c r="AO100" s="21"/>
      <c r="AP100" s="21"/>
      <c r="AQ100" s="21"/>
      <c r="AR100" s="21"/>
      <c r="AS100" s="21"/>
    </row>
    <row r="101" spans="1:86">
      <c r="C101" s="16" t="s">
        <v>39</v>
      </c>
      <c r="D101" s="17" t="s">
        <v>32</v>
      </c>
      <c r="E101" s="18">
        <v>13.453573798874222</v>
      </c>
      <c r="F101" s="18">
        <v>13.782871285724237</v>
      </c>
      <c r="G101" s="18">
        <v>8.7658268043874816</v>
      </c>
      <c r="H101" s="18">
        <v>8.4155499950776065</v>
      </c>
      <c r="I101" s="18">
        <v>9.1350185890606515</v>
      </c>
      <c r="J101" s="18">
        <v>12.027121891631515</v>
      </c>
      <c r="L101" s="16" t="s">
        <v>39</v>
      </c>
      <c r="M101" s="17" t="s">
        <v>32</v>
      </c>
      <c r="N101" s="18">
        <v>65.82745435767292</v>
      </c>
      <c r="O101" s="18">
        <v>70.897054808322522</v>
      </c>
      <c r="P101" s="18">
        <v>61.676425034330968</v>
      </c>
      <c r="Q101" s="18">
        <v>60.189222790580466</v>
      </c>
      <c r="R101" s="18">
        <v>63.643552216382055</v>
      </c>
      <c r="S101" s="18">
        <v>82.861661722190817</v>
      </c>
      <c r="U101" s="16" t="s">
        <v>39</v>
      </c>
      <c r="V101" s="17" t="s">
        <v>32</v>
      </c>
      <c r="W101" s="18">
        <f t="shared" si="50"/>
        <v>79.281028156547137</v>
      </c>
      <c r="X101" s="18">
        <f t="shared" si="45"/>
        <v>84.679926094046763</v>
      </c>
      <c r="Y101" s="18">
        <f t="shared" si="46"/>
        <v>70.442251838718448</v>
      </c>
      <c r="Z101" s="18">
        <f t="shared" si="47"/>
        <v>68.604772785658071</v>
      </c>
      <c r="AA101" s="18">
        <f t="shared" si="48"/>
        <v>72.778570805442712</v>
      </c>
      <c r="AB101" s="18">
        <f t="shared" si="49"/>
        <v>94.888783613822326</v>
      </c>
      <c r="AC101" s="19"/>
      <c r="AD101" s="20"/>
      <c r="AE101" s="15"/>
      <c r="AF101" s="21"/>
      <c r="AG101" s="21"/>
      <c r="AH101" s="21"/>
      <c r="AI101" s="21"/>
      <c r="AJ101" s="21"/>
      <c r="AK101" s="21"/>
      <c r="AL101" s="19"/>
      <c r="AM101" s="21"/>
      <c r="AN101" s="21"/>
      <c r="AO101" s="21"/>
      <c r="AP101" s="21"/>
      <c r="AQ101" s="21"/>
      <c r="AR101" s="21"/>
      <c r="AS101" s="21"/>
    </row>
    <row r="102" spans="1:86">
      <c r="A102" s="22"/>
      <c r="C102" s="23" t="s">
        <v>40</v>
      </c>
      <c r="D102" s="17" t="s">
        <v>32</v>
      </c>
      <c r="E102" s="24">
        <v>1905.7063002954264</v>
      </c>
      <c r="F102" s="24">
        <v>1954.992155839944</v>
      </c>
      <c r="G102" s="24">
        <v>2072.8698428123071</v>
      </c>
      <c r="H102" s="24">
        <v>1935.9015186833356</v>
      </c>
      <c r="I102" s="24">
        <v>1888.7769000136757</v>
      </c>
      <c r="J102" s="24">
        <v>2037.0207697626681</v>
      </c>
      <c r="L102" s="23" t="s">
        <v>40</v>
      </c>
      <c r="M102" s="17" t="s">
        <v>32</v>
      </c>
      <c r="N102" s="24">
        <v>7595.9965074142492</v>
      </c>
      <c r="O102" s="24">
        <v>7834.7679960513642</v>
      </c>
      <c r="P102" s="24">
        <v>7792.2821691898444</v>
      </c>
      <c r="Q102" s="24">
        <v>7124.4001025272528</v>
      </c>
      <c r="R102" s="24">
        <v>6944.7113343262799</v>
      </c>
      <c r="S102" s="24">
        <v>7376.7797914409748</v>
      </c>
      <c r="U102" s="23" t="s">
        <v>40</v>
      </c>
      <c r="V102" s="17" t="s">
        <v>32</v>
      </c>
      <c r="W102" s="24">
        <f>SUM(W94:W101)</f>
        <v>9501.7028077096747</v>
      </c>
      <c r="X102" s="24">
        <f t="shared" ref="X102:AB102" si="51">SUM(X94:X101)</f>
        <v>9789.760151891307</v>
      </c>
      <c r="Y102" s="24">
        <f t="shared" si="51"/>
        <v>9865.1520120021505</v>
      </c>
      <c r="Z102" s="24">
        <f t="shared" si="51"/>
        <v>9060.3016212105904</v>
      </c>
      <c r="AA102" s="24">
        <f t="shared" si="51"/>
        <v>8833.4882343399549</v>
      </c>
      <c r="AB102" s="24">
        <f t="shared" si="51"/>
        <v>9413.8005612036432</v>
      </c>
      <c r="AC102" s="25"/>
      <c r="AD102" s="26"/>
      <c r="AE102" s="15"/>
      <c r="AF102" s="27"/>
      <c r="AG102" s="27"/>
      <c r="AH102" s="27"/>
      <c r="AI102" s="27"/>
      <c r="AJ102" s="27"/>
      <c r="AK102" s="27"/>
      <c r="AL102" s="25"/>
      <c r="AM102" s="27"/>
      <c r="AN102" s="27"/>
      <c r="AO102" s="27"/>
      <c r="AP102" s="27"/>
      <c r="AQ102" s="27"/>
      <c r="AR102" s="27"/>
      <c r="AS102" s="27"/>
    </row>
    <row r="104" spans="1:86">
      <c r="C104" s="9" t="s">
        <v>22</v>
      </c>
      <c r="D104" s="9"/>
      <c r="E104" s="9"/>
      <c r="F104" s="9"/>
      <c r="G104" s="9"/>
      <c r="H104" s="9"/>
      <c r="I104" s="9"/>
      <c r="J104" s="9"/>
      <c r="L104" s="9" t="s">
        <v>22</v>
      </c>
      <c r="M104" s="9"/>
      <c r="N104" s="9"/>
      <c r="O104" s="9"/>
      <c r="P104" s="9"/>
      <c r="Q104" s="9"/>
      <c r="R104" s="9"/>
      <c r="S104" s="9"/>
      <c r="U104" s="9" t="str">
        <f>L104</f>
        <v>Zinc Metal</v>
      </c>
      <c r="V104" s="9"/>
      <c r="W104" s="9"/>
      <c r="X104" s="9"/>
      <c r="Y104" s="9"/>
      <c r="Z104" s="9"/>
      <c r="AA104" s="9"/>
      <c r="AB104" s="9"/>
      <c r="AC104" s="8"/>
      <c r="AD104" s="10"/>
      <c r="AE104" s="10"/>
      <c r="AF104" s="10"/>
      <c r="AG104" s="10"/>
      <c r="AH104" s="10"/>
      <c r="AI104" s="10"/>
      <c r="AJ104" s="10"/>
      <c r="AK104" s="10"/>
      <c r="AL104" s="8"/>
      <c r="AM104" s="10"/>
      <c r="AN104" s="10"/>
      <c r="AO104" s="10"/>
      <c r="AP104" s="10"/>
      <c r="AQ104" s="10"/>
      <c r="AR104" s="10"/>
      <c r="AS104" s="10"/>
    </row>
    <row r="105" spans="1:86" s="15" customFormat="1">
      <c r="A105" s="11"/>
      <c r="B105" s="11"/>
      <c r="C105" s="60"/>
      <c r="D105" s="60" t="s">
        <v>11</v>
      </c>
      <c r="E105" s="61">
        <v>2020</v>
      </c>
      <c r="F105" s="61">
        <v>2021</v>
      </c>
      <c r="G105" s="61">
        <v>2022</v>
      </c>
      <c r="H105" s="61">
        <v>2023</v>
      </c>
      <c r="I105" s="61">
        <v>2024</v>
      </c>
      <c r="J105" s="61">
        <v>2025</v>
      </c>
      <c r="K105" s="11"/>
      <c r="L105" s="60"/>
      <c r="M105" s="60" t="s">
        <v>11</v>
      </c>
      <c r="N105" s="61">
        <v>2020</v>
      </c>
      <c r="O105" s="61">
        <v>2021</v>
      </c>
      <c r="P105" s="61">
        <v>2022</v>
      </c>
      <c r="Q105" s="61">
        <v>2023</v>
      </c>
      <c r="R105" s="61">
        <v>2024</v>
      </c>
      <c r="S105" s="61">
        <v>2025</v>
      </c>
      <c r="T105" s="11"/>
      <c r="U105" s="60"/>
      <c r="V105" s="60" t="s">
        <v>11</v>
      </c>
      <c r="W105" s="61">
        <v>2020</v>
      </c>
      <c r="X105" s="61">
        <v>2021</v>
      </c>
      <c r="Y105" s="61">
        <v>2022</v>
      </c>
      <c r="Z105" s="61">
        <v>2023</v>
      </c>
      <c r="AA105" s="61">
        <v>2024</v>
      </c>
      <c r="AB105" s="61">
        <v>2025</v>
      </c>
      <c r="AC105" s="12"/>
      <c r="AD105" s="11"/>
      <c r="AE105" s="11"/>
      <c r="AF105" s="13"/>
      <c r="AG105" s="13"/>
      <c r="AH105" s="13"/>
      <c r="AI105" s="13"/>
      <c r="AJ105" s="13"/>
      <c r="AK105" s="13"/>
      <c r="AL105" s="12"/>
      <c r="AM105" s="13"/>
      <c r="AN105" s="13"/>
      <c r="AO105" s="13"/>
      <c r="AP105" s="13"/>
      <c r="AQ105" s="13"/>
      <c r="AR105" s="13"/>
      <c r="AS105" s="13"/>
      <c r="AT105" s="11"/>
      <c r="AU105" s="11"/>
      <c r="AV105" s="11"/>
      <c r="AW105" s="11"/>
      <c r="AX105" s="11"/>
      <c r="AY105" s="11"/>
      <c r="AZ105" s="11"/>
      <c r="BA105" s="11"/>
      <c r="BB105" s="11"/>
      <c r="BC105" s="11"/>
      <c r="BD105" s="14"/>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row>
    <row r="106" spans="1:86">
      <c r="A106" s="11"/>
      <c r="B106" s="11"/>
      <c r="C106" s="16" t="s">
        <v>31</v>
      </c>
      <c r="D106" s="17" t="s">
        <v>32</v>
      </c>
      <c r="E106" s="18">
        <v>106.88920141145877</v>
      </c>
      <c r="F106" s="18">
        <v>115.32450959210692</v>
      </c>
      <c r="G106" s="18">
        <v>116.71109110257549</v>
      </c>
      <c r="H106" s="18">
        <v>131.24886228503712</v>
      </c>
      <c r="I106" s="18">
        <v>126.2140543459635</v>
      </c>
      <c r="J106" s="18">
        <v>133.93166594859349</v>
      </c>
      <c r="K106" s="11"/>
      <c r="L106" s="16" t="s">
        <v>31</v>
      </c>
      <c r="M106" s="17" t="s">
        <v>32</v>
      </c>
      <c r="N106" s="18">
        <v>765.09810760235916</v>
      </c>
      <c r="O106" s="18">
        <v>769.91044548565287</v>
      </c>
      <c r="P106" s="18">
        <v>772.06084252535641</v>
      </c>
      <c r="Q106" s="18">
        <v>701.43579149976233</v>
      </c>
      <c r="R106" s="18">
        <v>687.82352393727274</v>
      </c>
      <c r="S106" s="18">
        <v>677.49283182176623</v>
      </c>
      <c r="T106" s="11"/>
      <c r="U106" s="16" t="s">
        <v>31</v>
      </c>
      <c r="V106" s="17" t="s">
        <v>32</v>
      </c>
      <c r="W106" s="18">
        <f>E106+N106</f>
        <v>871.98730901381794</v>
      </c>
      <c r="X106" s="18">
        <f t="shared" ref="X106:X113" si="52">F106+O106</f>
        <v>885.23495507775976</v>
      </c>
      <c r="Y106" s="18">
        <f t="shared" ref="Y106:Y113" si="53">G106+P106</f>
        <v>888.77193362793196</v>
      </c>
      <c r="Z106" s="18">
        <f t="shared" ref="Z106:Z113" si="54">H106+Q106</f>
        <v>832.68465378479948</v>
      </c>
      <c r="AA106" s="18">
        <f t="shared" ref="AA106:AA113" si="55">I106+R106</f>
        <v>814.03757828323626</v>
      </c>
      <c r="AB106" s="18">
        <f t="shared" ref="AB106:AB113" si="56">J106+S106</f>
        <v>811.42449777035972</v>
      </c>
      <c r="AC106" s="19"/>
      <c r="AD106" s="20"/>
      <c r="AE106" s="15"/>
      <c r="AF106" s="21"/>
      <c r="AG106" s="21"/>
      <c r="AH106" s="21"/>
      <c r="AI106" s="21"/>
      <c r="AJ106" s="21"/>
      <c r="AK106" s="21"/>
      <c r="AL106" s="19"/>
      <c r="AM106" s="21"/>
      <c r="AN106" s="21"/>
      <c r="AO106" s="21"/>
      <c r="AP106" s="21"/>
      <c r="AQ106" s="21"/>
      <c r="AR106" s="21"/>
      <c r="AS106" s="21"/>
      <c r="AT106" s="11"/>
      <c r="AU106" s="11"/>
      <c r="AV106" s="11"/>
      <c r="AW106" s="11"/>
      <c r="AX106" s="11"/>
      <c r="AY106" s="11"/>
      <c r="AZ106" s="11"/>
      <c r="BA106" s="11"/>
      <c r="BB106" s="11"/>
      <c r="BC106" s="11"/>
      <c r="BD106" s="14"/>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row>
    <row r="107" spans="1:86">
      <c r="C107" s="16" t="s">
        <v>33</v>
      </c>
      <c r="D107" s="17" t="s">
        <v>32</v>
      </c>
      <c r="E107" s="18">
        <v>986.87450367073563</v>
      </c>
      <c r="F107" s="18">
        <v>931.74906736744288</v>
      </c>
      <c r="G107" s="18">
        <v>895.22871013504573</v>
      </c>
      <c r="H107" s="18">
        <v>929.12599419326614</v>
      </c>
      <c r="I107" s="18">
        <v>941.63275376232707</v>
      </c>
      <c r="J107" s="18">
        <v>1073.3412671148972</v>
      </c>
      <c r="L107" s="16" t="s">
        <v>33</v>
      </c>
      <c r="M107" s="17" t="s">
        <v>32</v>
      </c>
      <c r="N107" s="18">
        <v>622.18597992326954</v>
      </c>
      <c r="O107" s="18">
        <v>593.68586422059741</v>
      </c>
      <c r="P107" s="18">
        <v>609.47405178556642</v>
      </c>
      <c r="Q107" s="18">
        <v>605.46083006724905</v>
      </c>
      <c r="R107" s="18">
        <v>635.70669722020443</v>
      </c>
      <c r="S107" s="18">
        <v>663.9567416715239</v>
      </c>
      <c r="U107" s="16" t="s">
        <v>33</v>
      </c>
      <c r="V107" s="17" t="s">
        <v>32</v>
      </c>
      <c r="W107" s="18">
        <f t="shared" ref="W107:W113" si="57">E107+N107</f>
        <v>1609.0604835940053</v>
      </c>
      <c r="X107" s="18">
        <f t="shared" si="52"/>
        <v>1525.4349315880404</v>
      </c>
      <c r="Y107" s="18">
        <f t="shared" si="53"/>
        <v>1504.7027619206121</v>
      </c>
      <c r="Z107" s="18">
        <f t="shared" si="54"/>
        <v>1534.5868242605152</v>
      </c>
      <c r="AA107" s="18">
        <f t="shared" si="55"/>
        <v>1577.3394509825316</v>
      </c>
      <c r="AB107" s="18">
        <f t="shared" si="56"/>
        <v>1737.2980087864212</v>
      </c>
      <c r="AC107" s="19"/>
      <c r="AD107" s="20"/>
      <c r="AE107" s="15"/>
      <c r="AF107" s="21"/>
      <c r="AG107" s="21"/>
      <c r="AH107" s="21"/>
      <c r="AI107" s="21"/>
      <c r="AJ107" s="21"/>
      <c r="AK107" s="21"/>
      <c r="AL107" s="19"/>
      <c r="AM107" s="21"/>
      <c r="AN107" s="21"/>
      <c r="AO107" s="21"/>
      <c r="AP107" s="21"/>
      <c r="AQ107" s="21"/>
      <c r="AR107" s="21"/>
      <c r="AS107" s="21"/>
    </row>
    <row r="108" spans="1:86">
      <c r="C108" s="16" t="s">
        <v>34</v>
      </c>
      <c r="D108" s="17" t="s">
        <v>32</v>
      </c>
      <c r="E108" s="18">
        <v>68.866556276950575</v>
      </c>
      <c r="F108" s="18">
        <v>89.593662255577073</v>
      </c>
      <c r="G108" s="18">
        <v>82.676768450830679</v>
      </c>
      <c r="H108" s="18">
        <v>69.827230489727427</v>
      </c>
      <c r="I108" s="18">
        <v>70.768193819488403</v>
      </c>
      <c r="J108" s="18">
        <v>73.21151556651148</v>
      </c>
      <c r="L108" s="16" t="s">
        <v>34</v>
      </c>
      <c r="M108" s="17" t="s">
        <v>32</v>
      </c>
      <c r="N108" s="18">
        <v>76.756187737573896</v>
      </c>
      <c r="O108" s="18">
        <v>107.45970954163569</v>
      </c>
      <c r="P108" s="18">
        <v>65.158385213963911</v>
      </c>
      <c r="Q108" s="18">
        <v>55.236150633770109</v>
      </c>
      <c r="R108" s="18">
        <v>52.468384189644915</v>
      </c>
      <c r="S108" s="18">
        <v>53.197406998103162</v>
      </c>
      <c r="U108" s="16" t="s">
        <v>34</v>
      </c>
      <c r="V108" s="17" t="s">
        <v>32</v>
      </c>
      <c r="W108" s="18">
        <f t="shared" si="57"/>
        <v>145.62274401452447</v>
      </c>
      <c r="X108" s="18">
        <f t="shared" si="52"/>
        <v>197.05337179721278</v>
      </c>
      <c r="Y108" s="18">
        <f t="shared" si="53"/>
        <v>147.83515366479457</v>
      </c>
      <c r="Z108" s="18">
        <f t="shared" si="54"/>
        <v>125.06338112349754</v>
      </c>
      <c r="AA108" s="18">
        <f t="shared" si="55"/>
        <v>123.23657800913332</v>
      </c>
      <c r="AB108" s="18">
        <f t="shared" si="56"/>
        <v>126.40892256461464</v>
      </c>
      <c r="AC108" s="19"/>
      <c r="AD108" s="20"/>
      <c r="AE108" s="15"/>
      <c r="AF108" s="21"/>
      <c r="AG108" s="21"/>
      <c r="AH108" s="21"/>
      <c r="AI108" s="21"/>
      <c r="AJ108" s="21"/>
      <c r="AK108" s="21"/>
      <c r="AL108" s="19"/>
      <c r="AM108" s="21"/>
      <c r="AN108" s="21"/>
      <c r="AO108" s="21"/>
      <c r="AP108" s="21"/>
      <c r="AQ108" s="21"/>
      <c r="AR108" s="21"/>
      <c r="AS108" s="21"/>
    </row>
    <row r="109" spans="1:86">
      <c r="C109" s="16" t="s">
        <v>35</v>
      </c>
      <c r="D109" s="17" t="s">
        <v>32</v>
      </c>
      <c r="E109" s="18">
        <v>11203.134800979478</v>
      </c>
      <c r="F109" s="18">
        <v>12495.962905170962</v>
      </c>
      <c r="G109" s="18">
        <v>12528.558051806065</v>
      </c>
      <c r="H109" s="18">
        <v>12806.187021530824</v>
      </c>
      <c r="I109" s="18">
        <v>11279.954066409118</v>
      </c>
      <c r="J109" s="18">
        <v>11573.31806423188</v>
      </c>
      <c r="L109" s="16" t="s">
        <v>35</v>
      </c>
      <c r="M109" s="17" t="s">
        <v>32</v>
      </c>
      <c r="N109" s="18">
        <v>12060.113259652582</v>
      </c>
      <c r="O109" s="18">
        <v>11221.970616999455</v>
      </c>
      <c r="P109" s="18">
        <v>11305.934005022833</v>
      </c>
      <c r="Q109" s="18">
        <v>11993.475770571853</v>
      </c>
      <c r="R109" s="18">
        <v>10855.951191618329</v>
      </c>
      <c r="S109" s="18">
        <v>10800.27487752106</v>
      </c>
      <c r="U109" s="16" t="s">
        <v>35</v>
      </c>
      <c r="V109" s="17" t="s">
        <v>32</v>
      </c>
      <c r="W109" s="18">
        <f t="shared" si="57"/>
        <v>23263.248060632061</v>
      </c>
      <c r="X109" s="18">
        <f t="shared" si="52"/>
        <v>23717.933522170417</v>
      </c>
      <c r="Y109" s="18">
        <f t="shared" si="53"/>
        <v>23834.492056828898</v>
      </c>
      <c r="Z109" s="18">
        <f t="shared" si="54"/>
        <v>24799.662792102677</v>
      </c>
      <c r="AA109" s="18">
        <f t="shared" si="55"/>
        <v>22135.905258027447</v>
      </c>
      <c r="AB109" s="18">
        <f t="shared" si="56"/>
        <v>22373.592941752941</v>
      </c>
      <c r="AC109" s="19"/>
      <c r="AD109" s="20"/>
      <c r="AE109" s="15"/>
      <c r="AF109" s="21"/>
      <c r="AG109" s="21"/>
      <c r="AH109" s="21"/>
      <c r="AI109" s="21"/>
      <c r="AJ109" s="21"/>
      <c r="AK109" s="21"/>
      <c r="AL109" s="19"/>
      <c r="AM109" s="21"/>
      <c r="AN109" s="21"/>
      <c r="AO109" s="21"/>
      <c r="AP109" s="21"/>
      <c r="AQ109" s="21"/>
      <c r="AR109" s="21"/>
      <c r="AS109" s="21"/>
    </row>
    <row r="110" spans="1:86">
      <c r="C110" s="16" t="s">
        <v>36</v>
      </c>
      <c r="D110" s="17" t="s">
        <v>32</v>
      </c>
      <c r="E110" s="18">
        <v>0.76111842438864352</v>
      </c>
      <c r="F110" s="18">
        <v>0</v>
      </c>
      <c r="G110" s="18">
        <v>0</v>
      </c>
      <c r="H110" s="18">
        <v>0</v>
      </c>
      <c r="I110" s="18">
        <v>0</v>
      </c>
      <c r="J110" s="18">
        <v>0</v>
      </c>
      <c r="L110" s="16" t="s">
        <v>36</v>
      </c>
      <c r="M110" s="17" t="s">
        <v>32</v>
      </c>
      <c r="N110" s="18">
        <v>2.2728370400695468</v>
      </c>
      <c r="O110" s="18">
        <v>0</v>
      </c>
      <c r="P110" s="18">
        <v>0</v>
      </c>
      <c r="Q110" s="18">
        <v>0</v>
      </c>
      <c r="R110" s="18">
        <v>0</v>
      </c>
      <c r="S110" s="18">
        <v>0</v>
      </c>
      <c r="U110" s="16" t="s">
        <v>36</v>
      </c>
      <c r="V110" s="17" t="s">
        <v>32</v>
      </c>
      <c r="W110" s="18">
        <f t="shared" si="57"/>
        <v>3.0339554644581903</v>
      </c>
      <c r="X110" s="18">
        <f t="shared" si="52"/>
        <v>0</v>
      </c>
      <c r="Y110" s="18">
        <f t="shared" si="53"/>
        <v>0</v>
      </c>
      <c r="Z110" s="18">
        <f t="shared" si="54"/>
        <v>0</v>
      </c>
      <c r="AA110" s="18">
        <f t="shared" si="55"/>
        <v>0</v>
      </c>
      <c r="AB110" s="18">
        <f t="shared" si="56"/>
        <v>0</v>
      </c>
      <c r="AC110" s="19"/>
      <c r="AD110" s="20"/>
      <c r="AE110" s="15"/>
      <c r="AF110" s="21"/>
      <c r="AG110" s="21"/>
      <c r="AH110" s="21"/>
      <c r="AI110" s="21"/>
      <c r="AJ110" s="21"/>
      <c r="AK110" s="21"/>
      <c r="AL110" s="19"/>
      <c r="AM110" s="21"/>
      <c r="AN110" s="21"/>
      <c r="AO110" s="21"/>
      <c r="AP110" s="21"/>
      <c r="AQ110" s="21"/>
      <c r="AR110" s="21"/>
      <c r="AS110" s="21"/>
    </row>
    <row r="111" spans="1:86">
      <c r="C111" s="16" t="s">
        <v>37</v>
      </c>
      <c r="D111" s="17" t="s">
        <v>32</v>
      </c>
      <c r="E111" s="18">
        <v>777.53888734992779</v>
      </c>
      <c r="F111" s="18">
        <v>740.72912213246991</v>
      </c>
      <c r="G111" s="18">
        <v>750.14335737285728</v>
      </c>
      <c r="H111" s="18">
        <v>736.98071661460506</v>
      </c>
      <c r="I111" s="18">
        <v>736.05731226402747</v>
      </c>
      <c r="J111" s="18">
        <v>753.23781521348724</v>
      </c>
      <c r="L111" s="16" t="s">
        <v>37</v>
      </c>
      <c r="M111" s="17" t="s">
        <v>32</v>
      </c>
      <c r="N111" s="18">
        <v>1567.3001434113601</v>
      </c>
      <c r="O111" s="18">
        <v>1242.3466662367332</v>
      </c>
      <c r="P111" s="18">
        <v>1116.4941416208162</v>
      </c>
      <c r="Q111" s="18">
        <v>898.66414740344135</v>
      </c>
      <c r="R111" s="18">
        <v>926.70737146878116</v>
      </c>
      <c r="S111" s="18">
        <v>969.17239110715502</v>
      </c>
      <c r="U111" s="16" t="s">
        <v>37</v>
      </c>
      <c r="V111" s="17" t="s">
        <v>32</v>
      </c>
      <c r="W111" s="18">
        <f t="shared" si="57"/>
        <v>2344.8390307612881</v>
      </c>
      <c r="X111" s="18">
        <f t="shared" si="52"/>
        <v>1983.0757883692031</v>
      </c>
      <c r="Y111" s="18">
        <f t="shared" si="53"/>
        <v>1866.6374989936735</v>
      </c>
      <c r="Z111" s="18">
        <f t="shared" si="54"/>
        <v>1635.6448640180465</v>
      </c>
      <c r="AA111" s="18">
        <f t="shared" si="55"/>
        <v>1662.7646837328086</v>
      </c>
      <c r="AB111" s="18">
        <f t="shared" si="56"/>
        <v>1722.4102063206424</v>
      </c>
      <c r="AC111" s="19"/>
      <c r="AD111" s="20"/>
      <c r="AE111" s="15"/>
      <c r="AF111" s="21"/>
      <c r="AG111" s="21"/>
      <c r="AH111" s="21"/>
      <c r="AI111" s="21"/>
      <c r="AJ111" s="21"/>
      <c r="AK111" s="21"/>
      <c r="AL111" s="19"/>
      <c r="AM111" s="21"/>
      <c r="AN111" s="21"/>
      <c r="AO111" s="21"/>
      <c r="AP111" s="21"/>
      <c r="AQ111" s="21"/>
      <c r="AR111" s="21"/>
      <c r="AS111" s="21"/>
    </row>
    <row r="112" spans="1:86">
      <c r="C112" s="16" t="s">
        <v>38</v>
      </c>
      <c r="D112" s="17" t="s">
        <v>32</v>
      </c>
      <c r="E112" s="18">
        <v>13.092133825056937</v>
      </c>
      <c r="F112" s="18">
        <v>13.152106902347567</v>
      </c>
      <c r="G112" s="18">
        <v>10.974492067111923</v>
      </c>
      <c r="H112" s="18">
        <v>11.842867283339373</v>
      </c>
      <c r="I112" s="18">
        <v>13.179647363615619</v>
      </c>
      <c r="J112" s="18">
        <v>14.469000282739735</v>
      </c>
      <c r="L112" s="16" t="s">
        <v>38</v>
      </c>
      <c r="M112" s="17" t="s">
        <v>32</v>
      </c>
      <c r="N112" s="18">
        <v>592.19843706672089</v>
      </c>
      <c r="O112" s="18">
        <v>552.06421424010557</v>
      </c>
      <c r="P112" s="18">
        <v>369.9738288979957</v>
      </c>
      <c r="Q112" s="18">
        <v>452.47057752326947</v>
      </c>
      <c r="R112" s="18">
        <v>492.73046494972311</v>
      </c>
      <c r="S112" s="18">
        <v>460.26663311360903</v>
      </c>
      <c r="U112" s="16" t="s">
        <v>38</v>
      </c>
      <c r="V112" s="17" t="s">
        <v>32</v>
      </c>
      <c r="W112" s="18">
        <f t="shared" si="57"/>
        <v>605.29057089177786</v>
      </c>
      <c r="X112" s="18">
        <f t="shared" si="52"/>
        <v>565.21632114245313</v>
      </c>
      <c r="Y112" s="18">
        <f t="shared" si="53"/>
        <v>380.9483209651076</v>
      </c>
      <c r="Z112" s="18">
        <f t="shared" si="54"/>
        <v>464.31344480660886</v>
      </c>
      <c r="AA112" s="18">
        <f t="shared" si="55"/>
        <v>505.91011231333874</v>
      </c>
      <c r="AB112" s="18">
        <f t="shared" si="56"/>
        <v>474.73563339634876</v>
      </c>
      <c r="AC112" s="19"/>
      <c r="AD112" s="20"/>
      <c r="AE112" s="15"/>
      <c r="AF112" s="21"/>
      <c r="AG112" s="21"/>
      <c r="AH112" s="21"/>
      <c r="AI112" s="21"/>
      <c r="AJ112" s="21"/>
      <c r="AK112" s="21"/>
      <c r="AL112" s="19"/>
      <c r="AM112" s="21"/>
      <c r="AN112" s="21"/>
      <c r="AO112" s="21"/>
      <c r="AP112" s="21"/>
      <c r="AQ112" s="21"/>
      <c r="AR112" s="21"/>
      <c r="AS112" s="21"/>
    </row>
    <row r="113" spans="1:86">
      <c r="C113" s="16" t="s">
        <v>39</v>
      </c>
      <c r="D113" s="17" t="s">
        <v>32</v>
      </c>
      <c r="E113" s="18">
        <v>0</v>
      </c>
      <c r="F113" s="18">
        <v>0</v>
      </c>
      <c r="G113" s="18">
        <v>0</v>
      </c>
      <c r="H113" s="18">
        <v>0</v>
      </c>
      <c r="I113" s="18">
        <v>0</v>
      </c>
      <c r="J113" s="18">
        <v>0</v>
      </c>
      <c r="L113" s="16" t="s">
        <v>39</v>
      </c>
      <c r="M113" s="17" t="s">
        <v>32</v>
      </c>
      <c r="N113" s="18">
        <v>0</v>
      </c>
      <c r="O113" s="18">
        <v>0</v>
      </c>
      <c r="P113" s="18">
        <v>0</v>
      </c>
      <c r="Q113" s="18">
        <v>0</v>
      </c>
      <c r="R113" s="18">
        <v>0</v>
      </c>
      <c r="S113" s="18">
        <v>0</v>
      </c>
      <c r="U113" s="16" t="s">
        <v>39</v>
      </c>
      <c r="V113" s="17" t="s">
        <v>32</v>
      </c>
      <c r="W113" s="18">
        <f t="shared" si="57"/>
        <v>0</v>
      </c>
      <c r="X113" s="18">
        <f t="shared" si="52"/>
        <v>0</v>
      </c>
      <c r="Y113" s="18">
        <f t="shared" si="53"/>
        <v>0</v>
      </c>
      <c r="Z113" s="18">
        <f t="shared" si="54"/>
        <v>0</v>
      </c>
      <c r="AA113" s="18">
        <f t="shared" si="55"/>
        <v>0</v>
      </c>
      <c r="AB113" s="18">
        <f t="shared" si="56"/>
        <v>0</v>
      </c>
      <c r="AC113" s="19"/>
      <c r="AD113" s="20"/>
      <c r="AE113" s="15"/>
      <c r="AF113" s="21"/>
      <c r="AG113" s="21"/>
      <c r="AH113" s="21"/>
      <c r="AI113" s="21"/>
      <c r="AJ113" s="21"/>
      <c r="AK113" s="21"/>
      <c r="AL113" s="19"/>
      <c r="AM113" s="21"/>
      <c r="AN113" s="21"/>
      <c r="AO113" s="21"/>
      <c r="AP113" s="21"/>
      <c r="AQ113" s="21"/>
      <c r="AR113" s="21"/>
      <c r="AS113" s="21"/>
    </row>
    <row r="114" spans="1:86">
      <c r="A114" s="22"/>
      <c r="C114" s="23" t="s">
        <v>40</v>
      </c>
      <c r="D114" s="17" t="s">
        <v>32</v>
      </c>
      <c r="E114" s="24">
        <v>13157.157201937998</v>
      </c>
      <c r="F114" s="24">
        <v>14386.511373420906</v>
      </c>
      <c r="G114" s="24">
        <v>14384.292470934486</v>
      </c>
      <c r="H114" s="24">
        <v>14685.212692396801</v>
      </c>
      <c r="I114" s="24">
        <v>13167.80602796454</v>
      </c>
      <c r="J114" s="24">
        <v>13621.50932835811</v>
      </c>
      <c r="L114" s="23" t="s">
        <v>40</v>
      </c>
      <c r="M114" s="17" t="s">
        <v>32</v>
      </c>
      <c r="N114" s="24">
        <v>15685.924952433936</v>
      </c>
      <c r="O114" s="24">
        <v>14487.43751672418</v>
      </c>
      <c r="P114" s="24">
        <v>14239.095255066532</v>
      </c>
      <c r="Q114" s="24">
        <v>14706.743267699345</v>
      </c>
      <c r="R114" s="24">
        <v>13651.387633383956</v>
      </c>
      <c r="S114" s="24">
        <v>13624.360882233219</v>
      </c>
      <c r="U114" s="23" t="s">
        <v>40</v>
      </c>
      <c r="V114" s="17" t="s">
        <v>32</v>
      </c>
      <c r="W114" s="24">
        <f>SUM(W106:W113)</f>
        <v>28843.082154371932</v>
      </c>
      <c r="X114" s="24">
        <f t="shared" ref="X114:AB114" si="58">SUM(X106:X113)</f>
        <v>28873.948890145082</v>
      </c>
      <c r="Y114" s="24">
        <f t="shared" si="58"/>
        <v>28623.387726001019</v>
      </c>
      <c r="Z114" s="24">
        <f t="shared" si="58"/>
        <v>29391.955960096144</v>
      </c>
      <c r="AA114" s="24">
        <f t="shared" si="58"/>
        <v>26819.193661348498</v>
      </c>
      <c r="AB114" s="24">
        <f t="shared" si="58"/>
        <v>27245.870210591325</v>
      </c>
      <c r="AC114" s="25"/>
      <c r="AD114" s="26"/>
      <c r="AE114" s="15"/>
      <c r="AF114" s="27"/>
      <c r="AG114" s="27"/>
      <c r="AH114" s="27"/>
      <c r="AI114" s="27"/>
      <c r="AJ114" s="27"/>
      <c r="AK114" s="27"/>
      <c r="AL114" s="25"/>
      <c r="AM114" s="27"/>
      <c r="AN114" s="27"/>
      <c r="AO114" s="27"/>
      <c r="AP114" s="27"/>
      <c r="AQ114" s="27"/>
      <c r="AR114" s="27"/>
      <c r="AS114" s="27"/>
    </row>
    <row r="116" spans="1:86">
      <c r="C116" s="9" t="s">
        <v>5</v>
      </c>
      <c r="D116" s="9"/>
      <c r="E116" s="9"/>
      <c r="F116" s="9"/>
      <c r="G116" s="9"/>
      <c r="H116" s="9"/>
      <c r="I116" s="9"/>
      <c r="J116" s="9"/>
      <c r="L116" s="9" t="s">
        <v>5</v>
      </c>
      <c r="M116" s="9"/>
      <c r="N116" s="9"/>
      <c r="O116" s="9"/>
      <c r="P116" s="9"/>
      <c r="Q116" s="9"/>
      <c r="R116" s="9"/>
      <c r="S116" s="9"/>
      <c r="U116" s="63" t="str">
        <f>L116</f>
        <v>Lead</v>
      </c>
      <c r="V116" s="62"/>
      <c r="W116" s="62"/>
      <c r="X116" s="62"/>
      <c r="Y116" s="62"/>
      <c r="Z116" s="62"/>
      <c r="AA116" s="62"/>
      <c r="AB116" s="62"/>
      <c r="AC116" s="8"/>
      <c r="AD116" s="10"/>
      <c r="AE116" s="10"/>
      <c r="AF116" s="10"/>
      <c r="AG116" s="10"/>
      <c r="AH116" s="10"/>
      <c r="AI116" s="10"/>
      <c r="AJ116" s="10"/>
      <c r="AK116" s="10"/>
      <c r="AL116" s="8"/>
      <c r="AM116" s="10"/>
      <c r="AN116" s="10"/>
      <c r="AO116" s="10"/>
      <c r="AP116" s="10"/>
      <c r="AQ116" s="10"/>
      <c r="AR116" s="10"/>
      <c r="AS116" s="10"/>
    </row>
    <row r="117" spans="1:86" s="15" customFormat="1">
      <c r="A117" s="11"/>
      <c r="B117" s="11"/>
      <c r="C117" s="60"/>
      <c r="D117" s="60" t="s">
        <v>11</v>
      </c>
      <c r="E117" s="61">
        <v>2020</v>
      </c>
      <c r="F117" s="61">
        <v>2021</v>
      </c>
      <c r="G117" s="61">
        <v>2022</v>
      </c>
      <c r="H117" s="61">
        <v>2023</v>
      </c>
      <c r="I117" s="61">
        <v>2024</v>
      </c>
      <c r="J117" s="61">
        <v>2025</v>
      </c>
      <c r="K117" s="11"/>
      <c r="L117" s="60"/>
      <c r="M117" s="60" t="s">
        <v>11</v>
      </c>
      <c r="N117" s="61">
        <v>2020</v>
      </c>
      <c r="O117" s="61">
        <v>2021</v>
      </c>
      <c r="P117" s="61">
        <v>2022</v>
      </c>
      <c r="Q117" s="61">
        <v>2023</v>
      </c>
      <c r="R117" s="61">
        <v>2024</v>
      </c>
      <c r="S117" s="61">
        <v>2025</v>
      </c>
      <c r="T117" s="11"/>
      <c r="U117" s="60"/>
      <c r="V117" s="60" t="s">
        <v>11</v>
      </c>
      <c r="W117" s="61">
        <v>2020</v>
      </c>
      <c r="X117" s="61">
        <v>2021</v>
      </c>
      <c r="Y117" s="61">
        <v>2022</v>
      </c>
      <c r="Z117" s="61">
        <v>2023</v>
      </c>
      <c r="AA117" s="61">
        <v>2024</v>
      </c>
      <c r="AB117" s="61">
        <v>2025</v>
      </c>
      <c r="AC117" s="12"/>
      <c r="AD117" s="11"/>
      <c r="AE117" s="11"/>
      <c r="AF117" s="13"/>
      <c r="AG117" s="13"/>
      <c r="AH117" s="13"/>
      <c r="AI117" s="13"/>
      <c r="AJ117" s="13"/>
      <c r="AK117" s="13"/>
      <c r="AL117" s="12"/>
      <c r="AM117" s="13"/>
      <c r="AN117" s="13"/>
      <c r="AO117" s="13"/>
      <c r="AP117" s="13"/>
      <c r="AQ117" s="13"/>
      <c r="AR117" s="13"/>
      <c r="AS117" s="13"/>
      <c r="AT117" s="11"/>
      <c r="AU117" s="11"/>
      <c r="AV117" s="11"/>
      <c r="AW117" s="11"/>
      <c r="AX117" s="11"/>
      <c r="AY117" s="11"/>
      <c r="AZ117" s="11"/>
      <c r="BA117" s="11"/>
      <c r="BB117" s="11"/>
      <c r="BC117" s="11"/>
      <c r="BD117" s="14"/>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row>
    <row r="118" spans="1:86">
      <c r="A118" s="11"/>
      <c r="B118" s="11"/>
      <c r="C118" s="16" t="s">
        <v>31</v>
      </c>
      <c r="D118" s="17" t="s">
        <v>32</v>
      </c>
      <c r="E118" s="18">
        <v>91.86056088736342</v>
      </c>
      <c r="F118" s="18">
        <v>101.21110272812189</v>
      </c>
      <c r="G118" s="18">
        <v>103.28410717472435</v>
      </c>
      <c r="H118" s="18">
        <v>82.631336044191514</v>
      </c>
      <c r="I118" s="18">
        <v>95.34553207052042</v>
      </c>
      <c r="J118" s="18">
        <v>99.91717057517188</v>
      </c>
      <c r="K118" s="11"/>
      <c r="L118" s="16" t="s">
        <v>31</v>
      </c>
      <c r="M118" s="17" t="s">
        <v>32</v>
      </c>
      <c r="N118" s="18">
        <v>336.84045927782847</v>
      </c>
      <c r="O118" s="18">
        <v>342.83669859444751</v>
      </c>
      <c r="P118" s="18">
        <v>331.60844337493427</v>
      </c>
      <c r="Q118" s="18">
        <v>307.45741788484844</v>
      </c>
      <c r="R118" s="18">
        <v>322.44451729499872</v>
      </c>
      <c r="S118" s="18">
        <v>345.61899886045609</v>
      </c>
      <c r="T118" s="11"/>
      <c r="U118" s="16" t="s">
        <v>31</v>
      </c>
      <c r="V118" s="17" t="s">
        <v>32</v>
      </c>
      <c r="W118" s="18">
        <f>E118+N118</f>
        <v>428.70102016519189</v>
      </c>
      <c r="X118" s="18">
        <f t="shared" ref="X118:X125" si="59">F118+O118</f>
        <v>444.0478013225694</v>
      </c>
      <c r="Y118" s="18">
        <f t="shared" ref="Y118:Y125" si="60">G118+P118</f>
        <v>434.89255054965861</v>
      </c>
      <c r="Z118" s="18">
        <f t="shared" ref="Z118:Z125" si="61">H118+Q118</f>
        <v>390.08875392903997</v>
      </c>
      <c r="AA118" s="18">
        <f t="shared" ref="AA118:AA125" si="62">I118+R118</f>
        <v>417.79004936551917</v>
      </c>
      <c r="AB118" s="18">
        <f t="shared" ref="AB118:AB125" si="63">J118+S118</f>
        <v>445.53616943562798</v>
      </c>
      <c r="AC118" s="19"/>
      <c r="AD118" s="20"/>
      <c r="AE118" s="15"/>
      <c r="AF118" s="21"/>
      <c r="AG118" s="21"/>
      <c r="AH118" s="21"/>
      <c r="AI118" s="21"/>
      <c r="AJ118" s="21"/>
      <c r="AK118" s="21"/>
      <c r="AL118" s="19"/>
      <c r="AM118" s="21"/>
      <c r="AN118" s="21"/>
      <c r="AO118" s="21"/>
      <c r="AP118" s="21"/>
      <c r="AQ118" s="21"/>
      <c r="AR118" s="21"/>
      <c r="AS118" s="21"/>
      <c r="AT118" s="11"/>
      <c r="AU118" s="11"/>
      <c r="AV118" s="11"/>
      <c r="AW118" s="11"/>
      <c r="AX118" s="11"/>
      <c r="AY118" s="11"/>
      <c r="AZ118" s="11"/>
      <c r="BA118" s="11"/>
      <c r="BB118" s="11"/>
      <c r="BC118" s="11"/>
      <c r="BD118" s="14"/>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row>
    <row r="119" spans="1:86">
      <c r="C119" s="16" t="s">
        <v>33</v>
      </c>
      <c r="D119" s="17" t="s">
        <v>32</v>
      </c>
      <c r="E119" s="18">
        <v>31.269233714280453</v>
      </c>
      <c r="F119" s="18">
        <v>40.592960122197702</v>
      </c>
      <c r="G119" s="18">
        <v>51.5850961079407</v>
      </c>
      <c r="H119" s="18">
        <v>63.389826243073522</v>
      </c>
      <c r="I119" s="18">
        <v>54.941403680788206</v>
      </c>
      <c r="J119" s="18">
        <v>57.025713189316647</v>
      </c>
      <c r="L119" s="16" t="s">
        <v>33</v>
      </c>
      <c r="M119" s="17" t="s">
        <v>32</v>
      </c>
      <c r="N119" s="18">
        <v>406.91718312849582</v>
      </c>
      <c r="O119" s="18">
        <v>522.16099242027417</v>
      </c>
      <c r="P119" s="18">
        <v>573.50381579643295</v>
      </c>
      <c r="Q119" s="18">
        <v>715.8321433703652</v>
      </c>
      <c r="R119" s="18">
        <v>621.36179960278253</v>
      </c>
      <c r="S119" s="18">
        <v>632.5157895128807</v>
      </c>
      <c r="U119" s="16" t="s">
        <v>33</v>
      </c>
      <c r="V119" s="17" t="s">
        <v>32</v>
      </c>
      <c r="W119" s="18">
        <f t="shared" ref="W119:W125" si="64">E119+N119</f>
        <v>438.18641684277628</v>
      </c>
      <c r="X119" s="18">
        <f t="shared" si="59"/>
        <v>562.75395254247189</v>
      </c>
      <c r="Y119" s="18">
        <f t="shared" si="60"/>
        <v>625.08891190437362</v>
      </c>
      <c r="Z119" s="18">
        <f t="shared" si="61"/>
        <v>779.22196961343877</v>
      </c>
      <c r="AA119" s="18">
        <f t="shared" si="62"/>
        <v>676.30320328357072</v>
      </c>
      <c r="AB119" s="18">
        <f t="shared" si="63"/>
        <v>689.54150270219736</v>
      </c>
      <c r="AC119" s="19"/>
      <c r="AD119" s="20"/>
      <c r="AE119" s="15"/>
      <c r="AF119" s="21"/>
      <c r="AG119" s="21"/>
      <c r="AH119" s="21"/>
      <c r="AI119" s="21"/>
      <c r="AJ119" s="21"/>
      <c r="AK119" s="21"/>
      <c r="AL119" s="19"/>
      <c r="AM119" s="21"/>
      <c r="AN119" s="21"/>
      <c r="AO119" s="21"/>
      <c r="AP119" s="21"/>
      <c r="AQ119" s="21"/>
      <c r="AR119" s="21"/>
      <c r="AS119" s="21"/>
    </row>
    <row r="120" spans="1:86">
      <c r="C120" s="16" t="s">
        <v>34</v>
      </c>
      <c r="D120" s="17" t="s">
        <v>32</v>
      </c>
      <c r="E120" s="18">
        <v>62.590614470067948</v>
      </c>
      <c r="F120" s="18">
        <v>70.48305949168747</v>
      </c>
      <c r="G120" s="18">
        <v>74.816590909026701</v>
      </c>
      <c r="H120" s="18">
        <v>80.760511169705055</v>
      </c>
      <c r="I120" s="18">
        <v>86.302677264256445</v>
      </c>
      <c r="J120" s="18">
        <v>77.476753361347335</v>
      </c>
      <c r="L120" s="16" t="s">
        <v>34</v>
      </c>
      <c r="M120" s="17" t="s">
        <v>32</v>
      </c>
      <c r="N120" s="18">
        <v>120.97384508489922</v>
      </c>
      <c r="O120" s="18">
        <v>143.82374613245054</v>
      </c>
      <c r="P120" s="18">
        <v>128.57701981656902</v>
      </c>
      <c r="Q120" s="18">
        <v>124.64897993519288</v>
      </c>
      <c r="R120" s="18">
        <v>119.89507476671785</v>
      </c>
      <c r="S120" s="18">
        <v>128.28802907997587</v>
      </c>
      <c r="U120" s="16" t="s">
        <v>34</v>
      </c>
      <c r="V120" s="17" t="s">
        <v>32</v>
      </c>
      <c r="W120" s="18">
        <f t="shared" si="64"/>
        <v>183.56445955496719</v>
      </c>
      <c r="X120" s="18">
        <f t="shared" si="59"/>
        <v>214.30680562413801</v>
      </c>
      <c r="Y120" s="18">
        <f t="shared" si="60"/>
        <v>203.39361072559572</v>
      </c>
      <c r="Z120" s="18">
        <f t="shared" si="61"/>
        <v>205.40949110489794</v>
      </c>
      <c r="AA120" s="18">
        <f t="shared" si="62"/>
        <v>206.1977520309743</v>
      </c>
      <c r="AB120" s="18">
        <f t="shared" si="63"/>
        <v>205.76478244132321</v>
      </c>
      <c r="AC120" s="19"/>
      <c r="AD120" s="20"/>
      <c r="AE120" s="15"/>
      <c r="AF120" s="21"/>
      <c r="AG120" s="21"/>
      <c r="AH120" s="21"/>
      <c r="AI120" s="21"/>
      <c r="AJ120" s="21"/>
      <c r="AK120" s="21"/>
      <c r="AL120" s="19"/>
      <c r="AM120" s="21"/>
      <c r="AN120" s="21"/>
      <c r="AO120" s="21"/>
      <c r="AP120" s="21"/>
      <c r="AQ120" s="21"/>
      <c r="AR120" s="21"/>
      <c r="AS120" s="21"/>
    </row>
    <row r="121" spans="1:86">
      <c r="C121" s="16" t="s">
        <v>35</v>
      </c>
      <c r="D121" s="17" t="s">
        <v>32</v>
      </c>
      <c r="E121" s="18">
        <v>184.83676286260271</v>
      </c>
      <c r="F121" s="18">
        <v>195.39363658861492</v>
      </c>
      <c r="G121" s="18">
        <v>194.20402068079576</v>
      </c>
      <c r="H121" s="18">
        <v>200.88583006269056</v>
      </c>
      <c r="I121" s="18">
        <v>194.62669234900318</v>
      </c>
      <c r="J121" s="18">
        <v>199.75241044734307</v>
      </c>
      <c r="L121" s="16" t="s">
        <v>35</v>
      </c>
      <c r="M121" s="17" t="s">
        <v>32</v>
      </c>
      <c r="N121" s="18">
        <v>1428.3165674858997</v>
      </c>
      <c r="O121" s="18">
        <v>1437.0421568306413</v>
      </c>
      <c r="P121" s="18">
        <v>1367.5036615602912</v>
      </c>
      <c r="Q121" s="18">
        <v>1319.8059717114579</v>
      </c>
      <c r="R121" s="18">
        <v>1226.0856241638633</v>
      </c>
      <c r="S121" s="18">
        <v>1244.7645845428481</v>
      </c>
      <c r="U121" s="16" t="s">
        <v>35</v>
      </c>
      <c r="V121" s="17" t="s">
        <v>32</v>
      </c>
      <c r="W121" s="18">
        <f t="shared" si="64"/>
        <v>1613.1533303485023</v>
      </c>
      <c r="X121" s="18">
        <f t="shared" si="59"/>
        <v>1632.4357934192562</v>
      </c>
      <c r="Y121" s="18">
        <f t="shared" si="60"/>
        <v>1561.707682241087</v>
      </c>
      <c r="Z121" s="18">
        <f t="shared" si="61"/>
        <v>1520.6918017741484</v>
      </c>
      <c r="AA121" s="18">
        <f t="shared" si="62"/>
        <v>1420.7123165128664</v>
      </c>
      <c r="AB121" s="18">
        <f t="shared" si="63"/>
        <v>1444.5169949901911</v>
      </c>
      <c r="AC121" s="19"/>
      <c r="AD121" s="20"/>
      <c r="AE121" s="15"/>
      <c r="AF121" s="21"/>
      <c r="AG121" s="21"/>
      <c r="AH121" s="21"/>
      <c r="AI121" s="21"/>
      <c r="AJ121" s="21"/>
      <c r="AK121" s="21"/>
      <c r="AL121" s="19"/>
      <c r="AM121" s="21"/>
      <c r="AN121" s="21"/>
      <c r="AO121" s="21"/>
      <c r="AP121" s="21"/>
      <c r="AQ121" s="21"/>
      <c r="AR121" s="21"/>
      <c r="AS121" s="21"/>
    </row>
    <row r="122" spans="1:86">
      <c r="C122" s="16" t="s">
        <v>36</v>
      </c>
      <c r="D122" s="17" t="s">
        <v>32</v>
      </c>
      <c r="E122" s="18">
        <v>5.1904801106706557</v>
      </c>
      <c r="F122" s="18">
        <v>6.2505331624001315</v>
      </c>
      <c r="G122" s="18">
        <v>6.9946202643941877</v>
      </c>
      <c r="H122" s="18">
        <v>7.399558042077226</v>
      </c>
      <c r="I122" s="18">
        <v>7.6923046442962786</v>
      </c>
      <c r="J122" s="18">
        <v>8.9087634972405194</v>
      </c>
      <c r="L122" s="16" t="s">
        <v>36</v>
      </c>
      <c r="M122" s="17" t="s">
        <v>32</v>
      </c>
      <c r="N122" s="18">
        <v>78.464563153776126</v>
      </c>
      <c r="O122" s="18">
        <v>100.88948658477045</v>
      </c>
      <c r="P122" s="18">
        <v>118.61587100964707</v>
      </c>
      <c r="Q122" s="18">
        <v>116.79253690878576</v>
      </c>
      <c r="R122" s="18">
        <v>110.75333944128425</v>
      </c>
      <c r="S122" s="18">
        <v>122.94580187528199</v>
      </c>
      <c r="U122" s="16" t="s">
        <v>36</v>
      </c>
      <c r="V122" s="17" t="s">
        <v>32</v>
      </c>
      <c r="W122" s="18">
        <f t="shared" si="64"/>
        <v>83.655043264446789</v>
      </c>
      <c r="X122" s="18">
        <f t="shared" si="59"/>
        <v>107.14001974717058</v>
      </c>
      <c r="Y122" s="18">
        <f t="shared" si="60"/>
        <v>125.61049127404125</v>
      </c>
      <c r="Z122" s="18">
        <f t="shared" si="61"/>
        <v>124.19209495086299</v>
      </c>
      <c r="AA122" s="18">
        <f t="shared" si="62"/>
        <v>118.44564408558054</v>
      </c>
      <c r="AB122" s="18">
        <f t="shared" si="63"/>
        <v>131.8545653725225</v>
      </c>
      <c r="AC122" s="19"/>
      <c r="AD122" s="20"/>
      <c r="AE122" s="15"/>
      <c r="AF122" s="21"/>
      <c r="AG122" s="21"/>
      <c r="AH122" s="21"/>
      <c r="AI122" s="21"/>
      <c r="AJ122" s="21"/>
      <c r="AK122" s="21"/>
      <c r="AL122" s="19"/>
      <c r="AM122" s="21"/>
      <c r="AN122" s="21"/>
      <c r="AO122" s="21"/>
      <c r="AP122" s="21"/>
      <c r="AQ122" s="21"/>
      <c r="AR122" s="21"/>
      <c r="AS122" s="21"/>
    </row>
    <row r="123" spans="1:86">
      <c r="C123" s="16" t="s">
        <v>37</v>
      </c>
      <c r="D123" s="17" t="s">
        <v>32</v>
      </c>
      <c r="E123" s="18">
        <v>31.847866504267078</v>
      </c>
      <c r="F123" s="18">
        <v>30.234130855670536</v>
      </c>
      <c r="G123" s="18">
        <v>31.803455205261013</v>
      </c>
      <c r="H123" s="18">
        <v>33.771022951382974</v>
      </c>
      <c r="I123" s="18">
        <v>32.313556807672796</v>
      </c>
      <c r="J123" s="18">
        <v>37.911543073898287</v>
      </c>
      <c r="L123" s="16" t="s">
        <v>37</v>
      </c>
      <c r="M123" s="17" t="s">
        <v>32</v>
      </c>
      <c r="N123" s="18">
        <v>120.24802990326458</v>
      </c>
      <c r="O123" s="18">
        <v>60.673894396036204</v>
      </c>
      <c r="P123" s="18">
        <v>54.414060818955335</v>
      </c>
      <c r="Q123" s="18">
        <v>47.229935455649127</v>
      </c>
      <c r="R123" s="18">
        <v>47.01448252957934</v>
      </c>
      <c r="S123" s="18">
        <v>73.831894923641855</v>
      </c>
      <c r="U123" s="16" t="s">
        <v>37</v>
      </c>
      <c r="V123" s="17" t="s">
        <v>32</v>
      </c>
      <c r="W123" s="18">
        <f t="shared" si="64"/>
        <v>152.09589640753165</v>
      </c>
      <c r="X123" s="18">
        <f t="shared" si="59"/>
        <v>90.908025251706732</v>
      </c>
      <c r="Y123" s="18">
        <f t="shared" si="60"/>
        <v>86.217516024216351</v>
      </c>
      <c r="Z123" s="18">
        <f t="shared" si="61"/>
        <v>81.000958407032101</v>
      </c>
      <c r="AA123" s="18">
        <f t="shared" si="62"/>
        <v>79.328039337252136</v>
      </c>
      <c r="AB123" s="18">
        <f t="shared" si="63"/>
        <v>111.74343799754014</v>
      </c>
      <c r="AC123" s="19"/>
      <c r="AD123" s="20"/>
      <c r="AE123" s="15"/>
      <c r="AF123" s="21"/>
      <c r="AG123" s="21"/>
      <c r="AH123" s="21"/>
      <c r="AI123" s="21"/>
      <c r="AJ123" s="21"/>
      <c r="AK123" s="21"/>
      <c r="AL123" s="19"/>
      <c r="AM123" s="21"/>
      <c r="AN123" s="21"/>
      <c r="AO123" s="21"/>
      <c r="AP123" s="21"/>
      <c r="AQ123" s="21"/>
      <c r="AR123" s="21"/>
      <c r="AS123" s="21"/>
    </row>
    <row r="124" spans="1:86">
      <c r="C124" s="16" t="s">
        <v>38</v>
      </c>
      <c r="D124" s="17" t="s">
        <v>32</v>
      </c>
      <c r="E124" s="18">
        <v>62.197782076470624</v>
      </c>
      <c r="F124" s="18">
        <v>60.605688927777734</v>
      </c>
      <c r="G124" s="18">
        <v>56.08147893864696</v>
      </c>
      <c r="H124" s="18">
        <v>60.152944112228255</v>
      </c>
      <c r="I124" s="18">
        <v>62.890217344741231</v>
      </c>
      <c r="J124" s="18">
        <v>67.102871005401596</v>
      </c>
      <c r="L124" s="16" t="s">
        <v>38</v>
      </c>
      <c r="M124" s="17" t="s">
        <v>32</v>
      </c>
      <c r="N124" s="18">
        <v>263.41964795274839</v>
      </c>
      <c r="O124" s="18">
        <v>273.64022197191161</v>
      </c>
      <c r="P124" s="18">
        <v>242.69316257924208</v>
      </c>
      <c r="Q124" s="18">
        <v>233.38134358720572</v>
      </c>
      <c r="R124" s="18">
        <v>243.76452735461476</v>
      </c>
      <c r="S124" s="18">
        <v>251.90017999549895</v>
      </c>
      <c r="U124" s="16" t="s">
        <v>38</v>
      </c>
      <c r="V124" s="17" t="s">
        <v>32</v>
      </c>
      <c r="W124" s="18">
        <f t="shared" si="64"/>
        <v>325.61743002921901</v>
      </c>
      <c r="X124" s="18">
        <f t="shared" si="59"/>
        <v>334.24591089968936</v>
      </c>
      <c r="Y124" s="18">
        <f t="shared" si="60"/>
        <v>298.77464151788905</v>
      </c>
      <c r="Z124" s="18">
        <f t="shared" si="61"/>
        <v>293.534287699434</v>
      </c>
      <c r="AA124" s="18">
        <f t="shared" si="62"/>
        <v>306.654744699356</v>
      </c>
      <c r="AB124" s="18">
        <f t="shared" si="63"/>
        <v>319.00305100090054</v>
      </c>
      <c r="AC124" s="19"/>
      <c r="AD124" s="20"/>
      <c r="AE124" s="15"/>
      <c r="AF124" s="21"/>
      <c r="AG124" s="21"/>
      <c r="AH124" s="21"/>
      <c r="AI124" s="21"/>
      <c r="AJ124" s="21"/>
      <c r="AK124" s="21"/>
      <c r="AL124" s="19"/>
      <c r="AM124" s="21"/>
      <c r="AN124" s="21"/>
      <c r="AO124" s="21"/>
      <c r="AP124" s="21"/>
      <c r="AQ124" s="21"/>
      <c r="AR124" s="21"/>
      <c r="AS124" s="21"/>
    </row>
    <row r="125" spans="1:86">
      <c r="C125" s="16" t="s">
        <v>39</v>
      </c>
      <c r="D125" s="17" t="s">
        <v>32</v>
      </c>
      <c r="E125" s="18">
        <v>1.9299537164963243</v>
      </c>
      <c r="F125" s="18">
        <v>1.9287031228014815</v>
      </c>
      <c r="G125" s="18">
        <v>1.2784612654255563</v>
      </c>
      <c r="H125" s="18">
        <v>1.4823172612028039</v>
      </c>
      <c r="I125" s="18">
        <v>1.5936981046243752</v>
      </c>
      <c r="J125" s="18">
        <v>2.4972727193541946</v>
      </c>
      <c r="L125" s="16" t="s">
        <v>39</v>
      </c>
      <c r="M125" s="17" t="s">
        <v>32</v>
      </c>
      <c r="N125" s="18">
        <v>4.9301461338309345</v>
      </c>
      <c r="O125" s="18">
        <v>4.9051308175170023</v>
      </c>
      <c r="P125" s="18">
        <v>4.7746399920208136</v>
      </c>
      <c r="Q125" s="18">
        <v>5.5671132532347869</v>
      </c>
      <c r="R125" s="18">
        <v>5.6040828707210437</v>
      </c>
      <c r="S125" s="18">
        <v>8.6517815552553472</v>
      </c>
      <c r="U125" s="16" t="s">
        <v>39</v>
      </c>
      <c r="V125" s="17" t="s">
        <v>32</v>
      </c>
      <c r="W125" s="18">
        <f t="shared" si="64"/>
        <v>6.8600998503272592</v>
      </c>
      <c r="X125" s="18">
        <f t="shared" si="59"/>
        <v>6.8338339403184838</v>
      </c>
      <c r="Y125" s="18">
        <f t="shared" si="60"/>
        <v>6.0531012574463698</v>
      </c>
      <c r="Z125" s="18">
        <f t="shared" si="61"/>
        <v>7.0494305144375904</v>
      </c>
      <c r="AA125" s="18">
        <f t="shared" si="62"/>
        <v>7.1977809753454185</v>
      </c>
      <c r="AB125" s="18">
        <f t="shared" si="63"/>
        <v>11.149054274609542</v>
      </c>
      <c r="AC125" s="19"/>
      <c r="AD125" s="20"/>
      <c r="AE125" s="15"/>
      <c r="AF125" s="21"/>
      <c r="AG125" s="21"/>
      <c r="AH125" s="21"/>
      <c r="AI125" s="21"/>
      <c r="AJ125" s="21"/>
      <c r="AK125" s="21"/>
      <c r="AL125" s="19"/>
      <c r="AM125" s="21"/>
      <c r="AN125" s="21"/>
      <c r="AO125" s="21"/>
      <c r="AP125" s="21"/>
      <c r="AQ125" s="21"/>
      <c r="AR125" s="21"/>
      <c r="AS125" s="21"/>
    </row>
    <row r="126" spans="1:86">
      <c r="A126" s="22"/>
      <c r="C126" s="23" t="s">
        <v>40</v>
      </c>
      <c r="D126" s="17" t="s">
        <v>32</v>
      </c>
      <c r="E126" s="24">
        <v>471.72325434221915</v>
      </c>
      <c r="F126" s="24">
        <v>506.69981499927189</v>
      </c>
      <c r="G126" s="24">
        <v>520.04783054621521</v>
      </c>
      <c r="H126" s="24">
        <v>530.4733458865519</v>
      </c>
      <c r="I126" s="24">
        <v>535.70608226590298</v>
      </c>
      <c r="J126" s="24">
        <v>550.59249786907344</v>
      </c>
      <c r="L126" s="23" t="s">
        <v>40</v>
      </c>
      <c r="M126" s="17" t="s">
        <v>32</v>
      </c>
      <c r="N126" s="24">
        <v>2760.1104421207428</v>
      </c>
      <c r="O126" s="24">
        <v>2885.9723277480489</v>
      </c>
      <c r="P126" s="24">
        <v>2821.6906749480927</v>
      </c>
      <c r="Q126" s="24">
        <v>2870.7154421067394</v>
      </c>
      <c r="R126" s="24">
        <v>2696.9234480245614</v>
      </c>
      <c r="S126" s="24">
        <v>2808.5170603458387</v>
      </c>
      <c r="U126" s="23" t="s">
        <v>40</v>
      </c>
      <c r="V126" s="17" t="s">
        <v>32</v>
      </c>
      <c r="W126" s="24">
        <f>SUM(W118:W125)</f>
        <v>3231.8336964629625</v>
      </c>
      <c r="X126" s="24">
        <f t="shared" ref="X126:AB126" si="65">SUM(X118:X125)</f>
        <v>3392.6721427473212</v>
      </c>
      <c r="Y126" s="24">
        <f t="shared" si="65"/>
        <v>3341.7385054943079</v>
      </c>
      <c r="Z126" s="24">
        <f t="shared" si="65"/>
        <v>3401.1887879932915</v>
      </c>
      <c r="AA126" s="24">
        <f t="shared" si="65"/>
        <v>3232.6295302904641</v>
      </c>
      <c r="AB126" s="24">
        <f t="shared" si="65"/>
        <v>3359.1095582149123</v>
      </c>
      <c r="AC126" s="25"/>
      <c r="AD126" s="26"/>
      <c r="AE126" s="15"/>
      <c r="AF126" s="27"/>
      <c r="AG126" s="27"/>
      <c r="AH126" s="27"/>
      <c r="AI126" s="27"/>
      <c r="AJ126" s="27"/>
      <c r="AK126" s="27"/>
      <c r="AL126" s="25"/>
      <c r="AM126" s="27"/>
      <c r="AN126" s="27"/>
      <c r="AO126" s="27"/>
      <c r="AP126" s="27"/>
      <c r="AQ126" s="27"/>
      <c r="AR126" s="27"/>
      <c r="AS126" s="27"/>
    </row>
    <row r="128" spans="1:86">
      <c r="C128" s="9" t="s">
        <v>42</v>
      </c>
      <c r="D128" s="9"/>
      <c r="E128" s="9"/>
      <c r="F128" s="9"/>
      <c r="G128" s="9"/>
      <c r="H128" s="9"/>
      <c r="I128" s="9"/>
      <c r="J128" s="9"/>
      <c r="L128" s="9" t="s">
        <v>42</v>
      </c>
      <c r="M128" s="9"/>
      <c r="N128" s="9"/>
      <c r="O128" s="9"/>
      <c r="P128" s="9"/>
      <c r="Q128" s="9"/>
      <c r="R128" s="9"/>
      <c r="S128" s="9"/>
      <c r="U128" s="9" t="str">
        <f>L128</f>
        <v>Nickel Mine</v>
      </c>
      <c r="V128" s="9"/>
      <c r="W128" s="9"/>
      <c r="X128" s="9"/>
      <c r="Y128" s="9"/>
      <c r="Z128" s="9"/>
      <c r="AA128" s="9"/>
      <c r="AB128" s="9"/>
      <c r="AC128" s="8"/>
      <c r="AD128" s="10"/>
      <c r="AE128" s="10"/>
      <c r="AF128" s="10"/>
      <c r="AG128" s="10"/>
      <c r="AH128" s="10"/>
      <c r="AI128" s="10"/>
      <c r="AJ128" s="10"/>
      <c r="AK128" s="10"/>
      <c r="AL128" s="8"/>
      <c r="AM128" s="10"/>
      <c r="AN128" s="10"/>
      <c r="AO128" s="10"/>
      <c r="AP128" s="10"/>
      <c r="AQ128" s="10"/>
      <c r="AR128" s="10"/>
      <c r="AS128" s="10"/>
    </row>
    <row r="129" spans="1:86" s="15" customFormat="1">
      <c r="A129" s="11"/>
      <c r="B129" s="11"/>
      <c r="C129" s="60"/>
      <c r="D129" s="60" t="s">
        <v>11</v>
      </c>
      <c r="E129" s="61">
        <v>2020</v>
      </c>
      <c r="F129" s="61">
        <v>2021</v>
      </c>
      <c r="G129" s="61">
        <v>2022</v>
      </c>
      <c r="H129" s="61">
        <v>2023</v>
      </c>
      <c r="I129" s="61">
        <v>2024</v>
      </c>
      <c r="J129" s="61">
        <v>2025</v>
      </c>
      <c r="K129" s="11"/>
      <c r="L129" s="60"/>
      <c r="M129" s="60" t="s">
        <v>11</v>
      </c>
      <c r="N129" s="61">
        <v>2020</v>
      </c>
      <c r="O129" s="61">
        <v>2021</v>
      </c>
      <c r="P129" s="61">
        <v>2022</v>
      </c>
      <c r="Q129" s="61">
        <v>2023</v>
      </c>
      <c r="R129" s="61">
        <v>2024</v>
      </c>
      <c r="S129" s="61">
        <v>2025</v>
      </c>
      <c r="T129" s="11"/>
      <c r="U129" s="60"/>
      <c r="V129" s="60" t="s">
        <v>11</v>
      </c>
      <c r="W129" s="61">
        <v>2020</v>
      </c>
      <c r="X129" s="61">
        <v>2021</v>
      </c>
      <c r="Y129" s="61">
        <v>2022</v>
      </c>
      <c r="Z129" s="61">
        <v>2023</v>
      </c>
      <c r="AA129" s="61">
        <v>2024</v>
      </c>
      <c r="AB129" s="61">
        <v>2025</v>
      </c>
      <c r="AC129" s="12"/>
      <c r="AD129" s="11"/>
      <c r="AE129" s="11"/>
      <c r="AF129" s="13"/>
      <c r="AG129" s="13"/>
      <c r="AH129" s="13"/>
      <c r="AI129" s="13"/>
      <c r="AJ129" s="13"/>
      <c r="AK129" s="13"/>
      <c r="AL129" s="12"/>
      <c r="AM129" s="13"/>
      <c r="AN129" s="13"/>
      <c r="AO129" s="13"/>
      <c r="AP129" s="13"/>
      <c r="AQ129" s="13"/>
      <c r="AR129" s="13"/>
      <c r="AS129" s="13"/>
      <c r="AT129" s="11"/>
      <c r="AU129" s="11"/>
      <c r="AV129" s="11"/>
      <c r="AW129" s="11"/>
      <c r="AX129" s="11"/>
      <c r="AY129" s="11"/>
      <c r="AZ129" s="11"/>
      <c r="BA129" s="11"/>
      <c r="BB129" s="11"/>
      <c r="BC129" s="11"/>
      <c r="BD129" s="14"/>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row>
    <row r="130" spans="1:86">
      <c r="A130" s="11"/>
      <c r="B130" s="11"/>
      <c r="C130" s="16" t="s">
        <v>31</v>
      </c>
      <c r="D130" s="17" t="s">
        <v>32</v>
      </c>
      <c r="E130" s="18">
        <v>335.00246262854705</v>
      </c>
      <c r="F130" s="18">
        <v>354.3863618280119</v>
      </c>
      <c r="G130" s="18">
        <v>276.01597941794233</v>
      </c>
      <c r="H130" s="18">
        <v>303.01364990579015</v>
      </c>
      <c r="I130" s="18">
        <v>298.88999756235501</v>
      </c>
      <c r="J130" s="18">
        <v>401.61849853099807</v>
      </c>
      <c r="K130" s="11"/>
      <c r="L130" s="16" t="s">
        <v>31</v>
      </c>
      <c r="M130" s="17" t="s">
        <v>32</v>
      </c>
      <c r="N130" s="18">
        <v>57.947077060999646</v>
      </c>
      <c r="O130" s="18">
        <v>52.482077404743173</v>
      </c>
      <c r="P130" s="18">
        <v>38.028385776973977</v>
      </c>
      <c r="Q130" s="18">
        <v>40.761032001593094</v>
      </c>
      <c r="R130" s="18">
        <v>34.196515264671348</v>
      </c>
      <c r="S130" s="18">
        <v>94.025413020621144</v>
      </c>
      <c r="T130" s="11"/>
      <c r="U130" s="16" t="s">
        <v>31</v>
      </c>
      <c r="V130" s="17" t="s">
        <v>32</v>
      </c>
      <c r="W130" s="18">
        <f>E130+N130</f>
        <v>392.94953968954667</v>
      </c>
      <c r="X130" s="18">
        <f t="shared" ref="X130:X137" si="66">F130+O130</f>
        <v>406.86843923275507</v>
      </c>
      <c r="Y130" s="18">
        <f t="shared" ref="Y130:Y137" si="67">G130+P130</f>
        <v>314.04436519491628</v>
      </c>
      <c r="Z130" s="18">
        <f t="shared" ref="Z130:Z137" si="68">H130+Q130</f>
        <v>343.77468190738324</v>
      </c>
      <c r="AA130" s="18">
        <f t="shared" ref="AA130:AA137" si="69">I130+R130</f>
        <v>333.08651282702635</v>
      </c>
      <c r="AB130" s="18">
        <f t="shared" ref="AB130:AB137" si="70">J130+S130</f>
        <v>495.64391155161923</v>
      </c>
      <c r="AC130" s="19"/>
      <c r="AD130" s="20"/>
      <c r="AE130" s="15"/>
      <c r="AF130" s="21"/>
      <c r="AG130" s="21"/>
      <c r="AH130" s="21"/>
      <c r="AI130" s="21"/>
      <c r="AJ130" s="21"/>
      <c r="AK130" s="21"/>
      <c r="AL130" s="19"/>
      <c r="AM130" s="21"/>
      <c r="AN130" s="21"/>
      <c r="AO130" s="21"/>
      <c r="AP130" s="21"/>
      <c r="AQ130" s="21"/>
      <c r="AR130" s="21"/>
      <c r="AS130" s="21"/>
      <c r="AT130" s="11"/>
      <c r="AU130" s="11"/>
      <c r="AV130" s="11"/>
      <c r="AW130" s="11"/>
      <c r="AX130" s="11"/>
      <c r="AY130" s="11"/>
      <c r="AZ130" s="11"/>
      <c r="BA130" s="11"/>
      <c r="BB130" s="11"/>
      <c r="BC130" s="11"/>
      <c r="BD130" s="14"/>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row>
    <row r="131" spans="1:86">
      <c r="C131" s="16" t="s">
        <v>33</v>
      </c>
      <c r="D131" s="17" t="s">
        <v>32</v>
      </c>
      <c r="E131" s="18">
        <v>0</v>
      </c>
      <c r="F131" s="18">
        <v>0</v>
      </c>
      <c r="G131" s="18">
        <v>0</v>
      </c>
      <c r="H131" s="18">
        <v>0</v>
      </c>
      <c r="I131" s="18">
        <v>0</v>
      </c>
      <c r="J131" s="18">
        <v>0</v>
      </c>
      <c r="L131" s="16" t="s">
        <v>33</v>
      </c>
      <c r="M131" s="17" t="s">
        <v>32</v>
      </c>
      <c r="N131" s="18">
        <v>0</v>
      </c>
      <c r="O131" s="18">
        <v>0</v>
      </c>
      <c r="P131" s="18">
        <v>0</v>
      </c>
      <c r="Q131" s="18">
        <v>0</v>
      </c>
      <c r="R131" s="18">
        <v>0</v>
      </c>
      <c r="S131" s="18">
        <v>0</v>
      </c>
      <c r="U131" s="16" t="s">
        <v>33</v>
      </c>
      <c r="V131" s="17" t="s">
        <v>32</v>
      </c>
      <c r="W131" s="18">
        <f t="shared" ref="W131:W137" si="71">E131+N131</f>
        <v>0</v>
      </c>
      <c r="X131" s="18">
        <f t="shared" si="66"/>
        <v>0</v>
      </c>
      <c r="Y131" s="18">
        <f t="shared" si="67"/>
        <v>0</v>
      </c>
      <c r="Z131" s="18">
        <f t="shared" si="68"/>
        <v>0</v>
      </c>
      <c r="AA131" s="18">
        <f t="shared" si="69"/>
        <v>0</v>
      </c>
      <c r="AB131" s="18">
        <f t="shared" si="70"/>
        <v>0</v>
      </c>
      <c r="AC131" s="19"/>
      <c r="AD131" s="20"/>
      <c r="AE131" s="15"/>
      <c r="AF131" s="21"/>
      <c r="AG131" s="21"/>
      <c r="AH131" s="21"/>
      <c r="AI131" s="21"/>
      <c r="AJ131" s="21"/>
      <c r="AK131" s="21"/>
      <c r="AL131" s="19"/>
      <c r="AM131" s="21"/>
      <c r="AN131" s="21"/>
      <c r="AO131" s="21"/>
      <c r="AP131" s="21"/>
      <c r="AQ131" s="21"/>
      <c r="AR131" s="21"/>
      <c r="AS131" s="21"/>
    </row>
    <row r="132" spans="1:86">
      <c r="C132" s="16" t="s">
        <v>34</v>
      </c>
      <c r="D132" s="17" t="s">
        <v>32</v>
      </c>
      <c r="E132" s="18">
        <v>10.450580062339839</v>
      </c>
      <c r="F132" s="18">
        <v>12.081388514436782</v>
      </c>
      <c r="G132" s="18">
        <v>10.633586624119102</v>
      </c>
      <c r="H132" s="18">
        <v>12.971840350500377</v>
      </c>
      <c r="I132" s="18">
        <v>19.51620990408059</v>
      </c>
      <c r="J132" s="18">
        <v>12.967928597349667</v>
      </c>
      <c r="L132" s="16" t="s">
        <v>34</v>
      </c>
      <c r="M132" s="17" t="s">
        <v>32</v>
      </c>
      <c r="N132" s="18">
        <v>13.62169723406889</v>
      </c>
      <c r="O132" s="18">
        <v>19.425116210544068</v>
      </c>
      <c r="P132" s="18">
        <v>11.794877564226006</v>
      </c>
      <c r="Q132" s="18">
        <v>9.8567857023909866</v>
      </c>
      <c r="R132" s="18">
        <v>9.1429543837002853</v>
      </c>
      <c r="S132" s="18">
        <v>8.7643636386510106</v>
      </c>
      <c r="U132" s="16" t="s">
        <v>34</v>
      </c>
      <c r="V132" s="17" t="s">
        <v>32</v>
      </c>
      <c r="W132" s="18">
        <f t="shared" si="71"/>
        <v>24.072277296408728</v>
      </c>
      <c r="X132" s="18">
        <f t="shared" si="66"/>
        <v>31.50650472498085</v>
      </c>
      <c r="Y132" s="18">
        <f t="shared" si="67"/>
        <v>22.42846418834511</v>
      </c>
      <c r="Z132" s="18">
        <f t="shared" si="68"/>
        <v>22.828626052891366</v>
      </c>
      <c r="AA132" s="18">
        <f t="shared" si="69"/>
        <v>28.659164287780875</v>
      </c>
      <c r="AB132" s="18">
        <f t="shared" si="70"/>
        <v>21.732292236000678</v>
      </c>
      <c r="AC132" s="19"/>
      <c r="AD132" s="20"/>
      <c r="AE132" s="15"/>
      <c r="AF132" s="21"/>
      <c r="AG132" s="21"/>
      <c r="AH132" s="21"/>
      <c r="AI132" s="21"/>
      <c r="AJ132" s="21"/>
      <c r="AK132" s="21"/>
      <c r="AL132" s="19"/>
      <c r="AM132" s="21"/>
      <c r="AN132" s="21"/>
      <c r="AO132" s="21"/>
      <c r="AP132" s="21"/>
      <c r="AQ132" s="21"/>
      <c r="AR132" s="21"/>
      <c r="AS132" s="21"/>
    </row>
    <row r="133" spans="1:86">
      <c r="C133" s="16" t="s">
        <v>35</v>
      </c>
      <c r="D133" s="17" t="s">
        <v>32</v>
      </c>
      <c r="E133" s="18">
        <v>0</v>
      </c>
      <c r="F133" s="18">
        <v>0</v>
      </c>
      <c r="G133" s="18">
        <v>0</v>
      </c>
      <c r="H133" s="18">
        <v>0</v>
      </c>
      <c r="I133" s="18">
        <v>0</v>
      </c>
      <c r="J133" s="18">
        <v>0</v>
      </c>
      <c r="L133" s="16" t="s">
        <v>35</v>
      </c>
      <c r="M133" s="17" t="s">
        <v>32</v>
      </c>
      <c r="N133" s="18">
        <v>0</v>
      </c>
      <c r="O133" s="18">
        <v>0</v>
      </c>
      <c r="P133" s="18">
        <v>0</v>
      </c>
      <c r="Q133" s="18">
        <v>0</v>
      </c>
      <c r="R133" s="18">
        <v>0</v>
      </c>
      <c r="S133" s="18">
        <v>0</v>
      </c>
      <c r="U133" s="16" t="s">
        <v>35</v>
      </c>
      <c r="V133" s="17" t="s">
        <v>32</v>
      </c>
      <c r="W133" s="18">
        <f t="shared" si="71"/>
        <v>0</v>
      </c>
      <c r="X133" s="18">
        <f t="shared" si="66"/>
        <v>0</v>
      </c>
      <c r="Y133" s="18">
        <f t="shared" si="67"/>
        <v>0</v>
      </c>
      <c r="Z133" s="18">
        <f t="shared" si="68"/>
        <v>0</v>
      </c>
      <c r="AA133" s="18">
        <f t="shared" si="69"/>
        <v>0</v>
      </c>
      <c r="AB133" s="18">
        <f t="shared" si="70"/>
        <v>0</v>
      </c>
      <c r="AC133" s="19"/>
      <c r="AD133" s="20"/>
      <c r="AE133" s="15"/>
      <c r="AF133" s="21"/>
      <c r="AG133" s="21"/>
      <c r="AH133" s="21"/>
      <c r="AI133" s="21"/>
      <c r="AJ133" s="21"/>
      <c r="AK133" s="21"/>
      <c r="AL133" s="19"/>
      <c r="AM133" s="21"/>
      <c r="AN133" s="21"/>
      <c r="AO133" s="21"/>
      <c r="AP133" s="21"/>
      <c r="AQ133" s="21"/>
      <c r="AR133" s="21"/>
      <c r="AS133" s="21"/>
    </row>
    <row r="134" spans="1:86">
      <c r="C134" s="16" t="s">
        <v>36</v>
      </c>
      <c r="D134" s="17" t="s">
        <v>32</v>
      </c>
      <c r="E134" s="18">
        <v>31.287369850476399</v>
      </c>
      <c r="F134" s="18">
        <v>10.423283590391293</v>
      </c>
      <c r="G134" s="18">
        <v>6.7808122390906558</v>
      </c>
      <c r="H134" s="18">
        <v>8.8131528565817678</v>
      </c>
      <c r="I134" s="18">
        <v>45.575277969262402</v>
      </c>
      <c r="J134" s="18">
        <v>116.44647557913264</v>
      </c>
      <c r="L134" s="16" t="s">
        <v>36</v>
      </c>
      <c r="M134" s="17" t="s">
        <v>32</v>
      </c>
      <c r="N134" s="18">
        <v>214.71648164268822</v>
      </c>
      <c r="O134" s="18">
        <v>50.48579433194341</v>
      </c>
      <c r="P134" s="18">
        <v>23.460136294762375</v>
      </c>
      <c r="Q134" s="18">
        <v>34.446733390887047</v>
      </c>
      <c r="R134" s="18">
        <v>39.889995373706725</v>
      </c>
      <c r="S134" s="18">
        <v>547.71767516371665</v>
      </c>
      <c r="U134" s="16" t="s">
        <v>36</v>
      </c>
      <c r="V134" s="17" t="s">
        <v>32</v>
      </c>
      <c r="W134" s="18">
        <f t="shared" si="71"/>
        <v>246.00385149316463</v>
      </c>
      <c r="X134" s="18">
        <f t="shared" si="66"/>
        <v>60.909077922334703</v>
      </c>
      <c r="Y134" s="18">
        <f t="shared" si="67"/>
        <v>30.240948533853029</v>
      </c>
      <c r="Z134" s="18">
        <f t="shared" si="68"/>
        <v>43.259886247468813</v>
      </c>
      <c r="AA134" s="18">
        <f t="shared" si="69"/>
        <v>85.465273342969127</v>
      </c>
      <c r="AB134" s="18">
        <f t="shared" si="70"/>
        <v>664.1641507428493</v>
      </c>
      <c r="AC134" s="19"/>
      <c r="AD134" s="20"/>
      <c r="AE134" s="15"/>
      <c r="AF134" s="21"/>
      <c r="AG134" s="21"/>
      <c r="AH134" s="21"/>
      <c r="AI134" s="21"/>
      <c r="AJ134" s="21"/>
      <c r="AK134" s="21"/>
      <c r="AL134" s="19"/>
      <c r="AM134" s="21"/>
      <c r="AN134" s="21"/>
      <c r="AO134" s="21"/>
      <c r="AP134" s="21"/>
      <c r="AQ134" s="21"/>
      <c r="AR134" s="21"/>
      <c r="AS134" s="21"/>
    </row>
    <row r="135" spans="1:86">
      <c r="C135" s="16" t="s">
        <v>37</v>
      </c>
      <c r="D135" s="17" t="s">
        <v>32</v>
      </c>
      <c r="E135" s="18">
        <v>37.750079167622921</v>
      </c>
      <c r="F135" s="18">
        <v>38.575118854678394</v>
      </c>
      <c r="G135" s="18">
        <v>38.410507559613563</v>
      </c>
      <c r="H135" s="18">
        <v>35.247638709153321</v>
      </c>
      <c r="I135" s="18">
        <v>29.653122816417021</v>
      </c>
      <c r="J135" s="18">
        <v>32.835277181480613</v>
      </c>
      <c r="L135" s="16" t="s">
        <v>37</v>
      </c>
      <c r="M135" s="17" t="s">
        <v>32</v>
      </c>
      <c r="N135" s="18">
        <v>27.817094889171816</v>
      </c>
      <c r="O135" s="18">
        <v>26.759057366356647</v>
      </c>
      <c r="P135" s="18">
        <v>27.375662849469958</v>
      </c>
      <c r="Q135" s="18">
        <v>25.421296654741933</v>
      </c>
      <c r="R135" s="18">
        <v>24.718741234411631</v>
      </c>
      <c r="S135" s="18">
        <v>30.854120397671682</v>
      </c>
      <c r="U135" s="16" t="s">
        <v>37</v>
      </c>
      <c r="V135" s="17" t="s">
        <v>32</v>
      </c>
      <c r="W135" s="18">
        <f t="shared" si="71"/>
        <v>65.567174056794741</v>
      </c>
      <c r="X135" s="18">
        <f t="shared" si="66"/>
        <v>65.334176221035037</v>
      </c>
      <c r="Y135" s="18">
        <f t="shared" si="67"/>
        <v>65.786170409083525</v>
      </c>
      <c r="Z135" s="18">
        <f t="shared" si="68"/>
        <v>60.668935363895258</v>
      </c>
      <c r="AA135" s="18">
        <f t="shared" si="69"/>
        <v>54.371864050828648</v>
      </c>
      <c r="AB135" s="18">
        <f t="shared" si="70"/>
        <v>63.689397579152299</v>
      </c>
      <c r="AC135" s="19"/>
      <c r="AD135" s="20"/>
      <c r="AE135" s="15"/>
      <c r="AF135" s="21"/>
      <c r="AG135" s="21"/>
      <c r="AH135" s="21"/>
      <c r="AI135" s="21"/>
      <c r="AJ135" s="21"/>
      <c r="AK135" s="21"/>
      <c r="AL135" s="19"/>
      <c r="AM135" s="21"/>
      <c r="AN135" s="21"/>
      <c r="AO135" s="21"/>
      <c r="AP135" s="21"/>
      <c r="AQ135" s="21"/>
      <c r="AR135" s="21"/>
      <c r="AS135" s="21"/>
    </row>
    <row r="136" spans="1:86">
      <c r="C136" s="16" t="s">
        <v>38</v>
      </c>
      <c r="D136" s="17" t="s">
        <v>32</v>
      </c>
      <c r="E136" s="18">
        <v>60.777329109172619</v>
      </c>
      <c r="F136" s="18">
        <v>59.328528479813016</v>
      </c>
      <c r="G136" s="18">
        <v>75.412173147539406</v>
      </c>
      <c r="H136" s="18">
        <v>82.810143671242756</v>
      </c>
      <c r="I136" s="18">
        <v>51.061824982809163</v>
      </c>
      <c r="J136" s="18">
        <v>42.118033576133172</v>
      </c>
      <c r="L136" s="16" t="s">
        <v>38</v>
      </c>
      <c r="M136" s="17" t="s">
        <v>32</v>
      </c>
      <c r="N136" s="18">
        <v>30.742646923617638</v>
      </c>
      <c r="O136" s="18">
        <v>31.587180896991068</v>
      </c>
      <c r="P136" s="18">
        <v>40.403642109771098</v>
      </c>
      <c r="Q136" s="18">
        <v>56.718011724484427</v>
      </c>
      <c r="R136" s="18">
        <v>16.276703118353669</v>
      </c>
      <c r="S136" s="18">
        <v>0</v>
      </c>
      <c r="U136" s="16" t="s">
        <v>38</v>
      </c>
      <c r="V136" s="17" t="s">
        <v>32</v>
      </c>
      <c r="W136" s="18">
        <f t="shared" si="71"/>
        <v>91.519976032790254</v>
      </c>
      <c r="X136" s="18">
        <f t="shared" si="66"/>
        <v>90.915709376804088</v>
      </c>
      <c r="Y136" s="18">
        <f t="shared" si="67"/>
        <v>115.8158152573105</v>
      </c>
      <c r="Z136" s="18">
        <f t="shared" si="68"/>
        <v>139.5281553957272</v>
      </c>
      <c r="AA136" s="18">
        <f t="shared" si="69"/>
        <v>67.338528101162836</v>
      </c>
      <c r="AB136" s="18">
        <f t="shared" si="70"/>
        <v>42.118033576133172</v>
      </c>
      <c r="AC136" s="19"/>
      <c r="AD136" s="20"/>
      <c r="AE136" s="15"/>
      <c r="AF136" s="21"/>
      <c r="AG136" s="21"/>
      <c r="AH136" s="21"/>
      <c r="AI136" s="21"/>
      <c r="AJ136" s="21"/>
      <c r="AK136" s="21"/>
      <c r="AL136" s="19"/>
      <c r="AM136" s="21"/>
      <c r="AN136" s="21"/>
      <c r="AO136" s="21"/>
      <c r="AP136" s="21"/>
      <c r="AQ136" s="21"/>
      <c r="AR136" s="21"/>
      <c r="AS136" s="21"/>
    </row>
    <row r="137" spans="1:86">
      <c r="C137" s="16" t="s">
        <v>39</v>
      </c>
      <c r="D137" s="17" t="s">
        <v>32</v>
      </c>
      <c r="E137" s="18">
        <v>0</v>
      </c>
      <c r="F137" s="18">
        <v>0</v>
      </c>
      <c r="G137" s="18">
        <v>0</v>
      </c>
      <c r="H137" s="18">
        <v>0</v>
      </c>
      <c r="I137" s="18">
        <v>0</v>
      </c>
      <c r="J137" s="18">
        <v>0</v>
      </c>
      <c r="L137" s="16" t="s">
        <v>39</v>
      </c>
      <c r="M137" s="17" t="s">
        <v>32</v>
      </c>
      <c r="N137" s="18">
        <v>0</v>
      </c>
      <c r="O137" s="18">
        <v>0</v>
      </c>
      <c r="P137" s="18">
        <v>0</v>
      </c>
      <c r="Q137" s="18">
        <v>0</v>
      </c>
      <c r="R137" s="18">
        <v>0</v>
      </c>
      <c r="S137" s="18">
        <v>0</v>
      </c>
      <c r="U137" s="16" t="s">
        <v>39</v>
      </c>
      <c r="V137" s="17" t="s">
        <v>32</v>
      </c>
      <c r="W137" s="18">
        <f t="shared" si="71"/>
        <v>0</v>
      </c>
      <c r="X137" s="18">
        <f t="shared" si="66"/>
        <v>0</v>
      </c>
      <c r="Y137" s="18">
        <f t="shared" si="67"/>
        <v>0</v>
      </c>
      <c r="Z137" s="18">
        <f t="shared" si="68"/>
        <v>0</v>
      </c>
      <c r="AA137" s="18">
        <f t="shared" si="69"/>
        <v>0</v>
      </c>
      <c r="AB137" s="18">
        <f t="shared" si="70"/>
        <v>0</v>
      </c>
      <c r="AC137" s="19"/>
      <c r="AD137" s="20"/>
      <c r="AE137" s="15"/>
      <c r="AF137" s="21"/>
      <c r="AG137" s="21"/>
      <c r="AH137" s="21"/>
      <c r="AI137" s="21"/>
      <c r="AJ137" s="21"/>
      <c r="AK137" s="21"/>
      <c r="AL137" s="19"/>
      <c r="AM137" s="21"/>
      <c r="AN137" s="21"/>
      <c r="AO137" s="21"/>
      <c r="AP137" s="21"/>
      <c r="AQ137" s="21"/>
      <c r="AR137" s="21"/>
      <c r="AS137" s="21"/>
    </row>
    <row r="138" spans="1:86">
      <c r="A138" s="22"/>
      <c r="C138" s="23" t="s">
        <v>40</v>
      </c>
      <c r="D138" s="17" t="s">
        <v>32</v>
      </c>
      <c r="E138" s="24">
        <v>475.26782081815884</v>
      </c>
      <c r="F138" s="24">
        <v>474.79468126733138</v>
      </c>
      <c r="G138" s="24">
        <v>407.2530589883051</v>
      </c>
      <c r="H138" s="24">
        <v>442.85642549326838</v>
      </c>
      <c r="I138" s="24">
        <v>444.6964332349242</v>
      </c>
      <c r="J138" s="24">
        <v>605.98621346509412</v>
      </c>
      <c r="L138" s="23" t="s">
        <v>40</v>
      </c>
      <c r="M138" s="17" t="s">
        <v>32</v>
      </c>
      <c r="N138" s="24">
        <v>344.84499775054621</v>
      </c>
      <c r="O138" s="24">
        <v>180.73922621057838</v>
      </c>
      <c r="P138" s="24">
        <v>141.0627045952034</v>
      </c>
      <c r="Q138" s="24">
        <v>167.2038594740975</v>
      </c>
      <c r="R138" s="24">
        <v>124.22490937484365</v>
      </c>
      <c r="S138" s="24">
        <v>681.36157222066038</v>
      </c>
      <c r="U138" s="23" t="s">
        <v>40</v>
      </c>
      <c r="V138" s="17" t="s">
        <v>32</v>
      </c>
      <c r="W138" s="24">
        <f>SUM(W130:W137)</f>
        <v>820.11281856870505</v>
      </c>
      <c r="X138" s="24">
        <f t="shared" ref="X138:AB138" si="72">SUM(X130:X137)</f>
        <v>655.53390747790979</v>
      </c>
      <c r="Y138" s="24">
        <f t="shared" si="72"/>
        <v>548.31576358350844</v>
      </c>
      <c r="Z138" s="24">
        <f t="shared" si="72"/>
        <v>610.06028496736576</v>
      </c>
      <c r="AA138" s="24">
        <f t="shared" si="72"/>
        <v>568.92134260976786</v>
      </c>
      <c r="AB138" s="24">
        <f t="shared" si="72"/>
        <v>1287.3477856857548</v>
      </c>
      <c r="AC138" s="25"/>
      <c r="AD138" s="26"/>
      <c r="AE138" s="15"/>
      <c r="AF138" s="27"/>
      <c r="AG138" s="27"/>
      <c r="AH138" s="27"/>
      <c r="AI138" s="27"/>
      <c r="AJ138" s="27"/>
      <c r="AK138" s="27"/>
      <c r="AL138" s="25"/>
      <c r="AM138" s="27"/>
      <c r="AN138" s="27"/>
      <c r="AO138" s="27"/>
      <c r="AP138" s="27"/>
      <c r="AQ138" s="27"/>
      <c r="AR138" s="27"/>
      <c r="AS138" s="27"/>
    </row>
    <row r="140" spans="1:86">
      <c r="C140" s="9" t="s">
        <v>43</v>
      </c>
      <c r="D140" s="9"/>
      <c r="E140" s="9"/>
      <c r="F140" s="9"/>
      <c r="G140" s="9"/>
      <c r="H140" s="9"/>
      <c r="I140" s="9"/>
      <c r="J140" s="9"/>
      <c r="L140" s="9" t="s">
        <v>43</v>
      </c>
      <c r="M140" s="9"/>
      <c r="N140" s="9"/>
      <c r="O140" s="9"/>
      <c r="P140" s="9"/>
      <c r="Q140" s="9"/>
      <c r="R140" s="9"/>
      <c r="S140" s="9"/>
      <c r="U140" s="9" t="str">
        <f>L140</f>
        <v>Nickel Products</v>
      </c>
      <c r="V140" s="9"/>
      <c r="W140" s="9"/>
      <c r="X140" s="9"/>
      <c r="Y140" s="9"/>
      <c r="Z140" s="9"/>
      <c r="AA140" s="9"/>
      <c r="AB140" s="9"/>
      <c r="AC140" s="8"/>
      <c r="AD140" s="10"/>
      <c r="AE140" s="10"/>
      <c r="AF140" s="10"/>
      <c r="AG140" s="10"/>
      <c r="AH140" s="10"/>
      <c r="AI140" s="10"/>
      <c r="AJ140" s="10"/>
      <c r="AK140" s="10"/>
      <c r="AL140" s="8"/>
      <c r="AM140" s="10"/>
      <c r="AN140" s="10"/>
      <c r="AO140" s="10"/>
      <c r="AP140" s="10"/>
      <c r="AQ140" s="10"/>
      <c r="AR140" s="10"/>
      <c r="AS140" s="10"/>
    </row>
    <row r="141" spans="1:86" s="15" customFormat="1">
      <c r="A141" s="11"/>
      <c r="B141" s="11"/>
      <c r="C141" s="60"/>
      <c r="D141" s="60" t="s">
        <v>11</v>
      </c>
      <c r="E141" s="61">
        <v>2020</v>
      </c>
      <c r="F141" s="61">
        <v>2021</v>
      </c>
      <c r="G141" s="61">
        <v>2022</v>
      </c>
      <c r="H141" s="61">
        <v>2023</v>
      </c>
      <c r="I141" s="61">
        <v>2024</v>
      </c>
      <c r="J141" s="61">
        <v>2025</v>
      </c>
      <c r="K141" s="11"/>
      <c r="L141" s="60"/>
      <c r="M141" s="60" t="s">
        <v>11</v>
      </c>
      <c r="N141" s="61">
        <v>2020</v>
      </c>
      <c r="O141" s="61">
        <v>2021</v>
      </c>
      <c r="P141" s="61">
        <v>2022</v>
      </c>
      <c r="Q141" s="61">
        <v>2023</v>
      </c>
      <c r="R141" s="61">
        <v>2024</v>
      </c>
      <c r="S141" s="61">
        <v>2025</v>
      </c>
      <c r="T141" s="11"/>
      <c r="U141" s="60"/>
      <c r="V141" s="60" t="s">
        <v>11</v>
      </c>
      <c r="W141" s="61">
        <v>2020</v>
      </c>
      <c r="X141" s="61">
        <v>2021</v>
      </c>
      <c r="Y141" s="61">
        <v>2022</v>
      </c>
      <c r="Z141" s="61">
        <v>2023</v>
      </c>
      <c r="AA141" s="61">
        <v>2024</v>
      </c>
      <c r="AB141" s="61">
        <v>2025</v>
      </c>
      <c r="AC141" s="12"/>
      <c r="AD141" s="11"/>
      <c r="AE141" s="11"/>
      <c r="AF141" s="13"/>
      <c r="AG141" s="13"/>
      <c r="AH141" s="13"/>
      <c r="AI141" s="13"/>
      <c r="AJ141" s="13"/>
      <c r="AK141" s="13"/>
      <c r="AL141" s="12"/>
      <c r="AM141" s="13"/>
      <c r="AN141" s="13"/>
      <c r="AO141" s="13"/>
      <c r="AP141" s="13"/>
      <c r="AQ141" s="13"/>
      <c r="AR141" s="13"/>
      <c r="AS141" s="13"/>
      <c r="AT141" s="11"/>
      <c r="AU141" s="11"/>
      <c r="AV141" s="11"/>
      <c r="AW141" s="11"/>
      <c r="AX141" s="11"/>
      <c r="AY141" s="11"/>
      <c r="AZ141" s="11"/>
      <c r="BA141" s="11"/>
      <c r="BB141" s="11"/>
      <c r="BC141" s="11"/>
      <c r="BD141" s="14"/>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row>
    <row r="142" spans="1:86">
      <c r="A142" s="11"/>
      <c r="B142" s="11"/>
      <c r="C142" s="16" t="s">
        <v>31</v>
      </c>
      <c r="D142" s="17" t="s">
        <v>32</v>
      </c>
      <c r="E142" s="18">
        <v>197.39386526424033</v>
      </c>
      <c r="F142" s="18">
        <v>162.61101447709106</v>
      </c>
      <c r="G142" s="18">
        <v>230.07626330064591</v>
      </c>
      <c r="H142" s="18">
        <v>191.84250991896948</v>
      </c>
      <c r="I142" s="18">
        <v>184.91386776625075</v>
      </c>
      <c r="J142" s="18">
        <v>212.12651008053601</v>
      </c>
      <c r="K142" s="11"/>
      <c r="L142" s="16" t="s">
        <v>31</v>
      </c>
      <c r="M142" s="17" t="s">
        <v>32</v>
      </c>
      <c r="N142" s="18">
        <v>175.74958468012341</v>
      </c>
      <c r="O142" s="18">
        <v>142.88091501099024</v>
      </c>
      <c r="P142" s="18">
        <v>174.49123046951695</v>
      </c>
      <c r="Q142" s="18">
        <v>149.06264043748138</v>
      </c>
      <c r="R142" s="18">
        <v>120.88766720897964</v>
      </c>
      <c r="S142" s="18">
        <v>130.57666999352429</v>
      </c>
      <c r="T142" s="11"/>
      <c r="U142" s="16" t="s">
        <v>31</v>
      </c>
      <c r="V142" s="17" t="s">
        <v>32</v>
      </c>
      <c r="W142" s="18">
        <f>E142+N142</f>
        <v>373.14344994436374</v>
      </c>
      <c r="X142" s="18">
        <f t="shared" ref="X142:X149" si="73">F142+O142</f>
        <v>305.49192948808127</v>
      </c>
      <c r="Y142" s="18">
        <f t="shared" ref="Y142:Y149" si="74">G142+P142</f>
        <v>404.56749377016286</v>
      </c>
      <c r="Z142" s="18">
        <f t="shared" ref="Z142:Z149" si="75">H142+Q142</f>
        <v>340.90515035645086</v>
      </c>
      <c r="AA142" s="18">
        <f t="shared" ref="AA142:AA149" si="76">I142+R142</f>
        <v>305.80153497523037</v>
      </c>
      <c r="AB142" s="18">
        <f t="shared" ref="AB142:AB149" si="77">J142+S142</f>
        <v>342.7031800740603</v>
      </c>
      <c r="AC142" s="19"/>
      <c r="AD142" s="20"/>
      <c r="AE142" s="15"/>
      <c r="AF142" s="21"/>
      <c r="AG142" s="21"/>
      <c r="AH142" s="21"/>
      <c r="AI142" s="21"/>
      <c r="AJ142" s="21"/>
      <c r="AK142" s="21"/>
      <c r="AL142" s="19"/>
      <c r="AM142" s="21"/>
      <c r="AN142" s="21"/>
      <c r="AO142" s="21"/>
      <c r="AP142" s="21"/>
      <c r="AQ142" s="21"/>
      <c r="AR142" s="21"/>
      <c r="AS142" s="21"/>
      <c r="AT142" s="11"/>
      <c r="AU142" s="11"/>
      <c r="AV142" s="11"/>
      <c r="AW142" s="11"/>
      <c r="AX142" s="11"/>
      <c r="AY142" s="11"/>
      <c r="AZ142" s="11"/>
      <c r="BA142" s="11"/>
      <c r="BB142" s="11"/>
      <c r="BC142" s="11"/>
      <c r="BD142" s="14"/>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row>
    <row r="143" spans="1:86">
      <c r="C143" s="16" t="s">
        <v>33</v>
      </c>
      <c r="D143" s="17" t="s">
        <v>32</v>
      </c>
      <c r="E143" s="18">
        <v>3489.3221911125347</v>
      </c>
      <c r="F143" s="18">
        <v>2948.7495418629387</v>
      </c>
      <c r="G143" s="18">
        <v>3208.6705646480186</v>
      </c>
      <c r="H143" s="18">
        <v>3114.7629000345364</v>
      </c>
      <c r="I143" s="18">
        <v>3367.6556969487283</v>
      </c>
      <c r="J143" s="18">
        <v>3314.3408175472168</v>
      </c>
      <c r="L143" s="16" t="s">
        <v>33</v>
      </c>
      <c r="M143" s="17" t="s">
        <v>32</v>
      </c>
      <c r="N143" s="18">
        <v>0</v>
      </c>
      <c r="O143" s="18">
        <v>0</v>
      </c>
      <c r="P143" s="18">
        <v>0</v>
      </c>
      <c r="Q143" s="18">
        <v>0</v>
      </c>
      <c r="R143" s="18">
        <v>0</v>
      </c>
      <c r="S143" s="18">
        <v>0</v>
      </c>
      <c r="U143" s="16" t="s">
        <v>33</v>
      </c>
      <c r="V143" s="17" t="s">
        <v>32</v>
      </c>
      <c r="W143" s="18">
        <f t="shared" ref="W143:W149" si="78">E143+N143</f>
        <v>3489.3221911125347</v>
      </c>
      <c r="X143" s="18">
        <f t="shared" si="73"/>
        <v>2948.7495418629387</v>
      </c>
      <c r="Y143" s="18">
        <f t="shared" si="74"/>
        <v>3208.6705646480186</v>
      </c>
      <c r="Z143" s="18">
        <f t="shared" si="75"/>
        <v>3114.7629000345364</v>
      </c>
      <c r="AA143" s="18">
        <f t="shared" si="76"/>
        <v>3367.6556969487283</v>
      </c>
      <c r="AB143" s="18">
        <f t="shared" si="77"/>
        <v>3314.3408175472168</v>
      </c>
      <c r="AC143" s="19"/>
      <c r="AD143" s="20"/>
      <c r="AE143" s="15"/>
      <c r="AF143" s="21"/>
      <c r="AG143" s="21"/>
      <c r="AH143" s="21"/>
      <c r="AI143" s="21"/>
      <c r="AJ143" s="21"/>
      <c r="AK143" s="21"/>
      <c r="AL143" s="19"/>
      <c r="AM143" s="21"/>
      <c r="AN143" s="21"/>
      <c r="AO143" s="21"/>
      <c r="AP143" s="21"/>
      <c r="AQ143" s="21"/>
      <c r="AR143" s="21"/>
      <c r="AS143" s="21"/>
    </row>
    <row r="144" spans="1:86">
      <c r="C144" s="16" t="s">
        <v>34</v>
      </c>
      <c r="D144" s="17" t="s">
        <v>32</v>
      </c>
      <c r="E144" s="18">
        <v>4774.494167573077</v>
      </c>
      <c r="F144" s="18">
        <v>4670.1772322593315</v>
      </c>
      <c r="G144" s="18">
        <v>4639.5404844331051</v>
      </c>
      <c r="H144" s="18">
        <v>3298.7793687434687</v>
      </c>
      <c r="I144" s="18">
        <v>2896.4783916212132</v>
      </c>
      <c r="J144" s="18">
        <v>3395.7588082594075</v>
      </c>
      <c r="L144" s="16" t="s">
        <v>34</v>
      </c>
      <c r="M144" s="17" t="s">
        <v>32</v>
      </c>
      <c r="N144" s="18">
        <v>460.8164925899224</v>
      </c>
      <c r="O144" s="18">
        <v>488.26211215505026</v>
      </c>
      <c r="P144" s="18">
        <v>415.55236644060619</v>
      </c>
      <c r="Q144" s="18">
        <v>370.65194906083286</v>
      </c>
      <c r="R144" s="18">
        <v>367.51162338638198</v>
      </c>
      <c r="S144" s="18">
        <v>386.13944136308817</v>
      </c>
      <c r="U144" s="16" t="s">
        <v>34</v>
      </c>
      <c r="V144" s="17" t="s">
        <v>32</v>
      </c>
      <c r="W144" s="18">
        <f t="shared" si="78"/>
        <v>5235.3106601629997</v>
      </c>
      <c r="X144" s="18">
        <f t="shared" si="73"/>
        <v>5158.4393444143816</v>
      </c>
      <c r="Y144" s="18">
        <f t="shared" si="74"/>
        <v>5055.0928508737115</v>
      </c>
      <c r="Z144" s="18">
        <f t="shared" si="75"/>
        <v>3669.4313178043017</v>
      </c>
      <c r="AA144" s="18">
        <f t="shared" si="76"/>
        <v>3263.990015007595</v>
      </c>
      <c r="AB144" s="18">
        <f t="shared" si="77"/>
        <v>3781.8982496224958</v>
      </c>
      <c r="AC144" s="19"/>
      <c r="AD144" s="20"/>
      <c r="AE144" s="15"/>
      <c r="AF144" s="21"/>
      <c r="AG144" s="21"/>
      <c r="AH144" s="21"/>
      <c r="AI144" s="21"/>
      <c r="AJ144" s="21"/>
      <c r="AK144" s="21"/>
      <c r="AL144" s="19"/>
      <c r="AM144" s="21"/>
      <c r="AN144" s="21"/>
      <c r="AO144" s="21"/>
      <c r="AP144" s="21"/>
      <c r="AQ144" s="21"/>
      <c r="AR144" s="21"/>
      <c r="AS144" s="21"/>
    </row>
    <row r="145" spans="1:86">
      <c r="C145" s="16" t="s">
        <v>35</v>
      </c>
      <c r="D145" s="17" t="s">
        <v>32</v>
      </c>
      <c r="E145" s="18">
        <v>56461.699430216097</v>
      </c>
      <c r="F145" s="18">
        <v>67110.542539643633</v>
      </c>
      <c r="G145" s="18">
        <v>84952.233907178554</v>
      </c>
      <c r="H145" s="18">
        <v>109131.37601840054</v>
      </c>
      <c r="I145" s="18">
        <v>122128.6320180145</v>
      </c>
      <c r="J145" s="18">
        <v>130734.9342011819</v>
      </c>
      <c r="L145" s="16" t="s">
        <v>35</v>
      </c>
      <c r="M145" s="17" t="s">
        <v>32</v>
      </c>
      <c r="N145" s="18">
        <v>14718.137731770639</v>
      </c>
      <c r="O145" s="18">
        <v>13090.145584033015</v>
      </c>
      <c r="P145" s="18">
        <v>14015.125468440774</v>
      </c>
      <c r="Q145" s="18">
        <v>13789.189530449417</v>
      </c>
      <c r="R145" s="18">
        <v>14018.085790341898</v>
      </c>
      <c r="S145" s="18">
        <v>14392.518803365805</v>
      </c>
      <c r="U145" s="16" t="s">
        <v>35</v>
      </c>
      <c r="V145" s="17" t="s">
        <v>32</v>
      </c>
      <c r="W145" s="18">
        <f t="shared" si="78"/>
        <v>71179.837161986739</v>
      </c>
      <c r="X145" s="18">
        <f t="shared" si="73"/>
        <v>80200.688123676649</v>
      </c>
      <c r="Y145" s="18">
        <f t="shared" si="74"/>
        <v>98967.35937561933</v>
      </c>
      <c r="Z145" s="18">
        <f t="shared" si="75"/>
        <v>122920.56554884996</v>
      </c>
      <c r="AA145" s="18">
        <f t="shared" si="76"/>
        <v>136146.71780835639</v>
      </c>
      <c r="AB145" s="18">
        <f t="shared" si="77"/>
        <v>145127.45300454769</v>
      </c>
      <c r="AC145" s="19"/>
      <c r="AD145" s="20"/>
      <c r="AE145" s="15"/>
      <c r="AF145" s="21"/>
      <c r="AG145" s="21"/>
      <c r="AH145" s="21"/>
      <c r="AI145" s="21"/>
      <c r="AJ145" s="21"/>
      <c r="AK145" s="21"/>
      <c r="AL145" s="19"/>
      <c r="AM145" s="21"/>
      <c r="AN145" s="21"/>
      <c r="AO145" s="21"/>
      <c r="AP145" s="21"/>
      <c r="AQ145" s="21"/>
      <c r="AR145" s="21"/>
      <c r="AS145" s="21"/>
    </row>
    <row r="146" spans="1:86">
      <c r="C146" s="16" t="s">
        <v>36</v>
      </c>
      <c r="D146" s="17" t="s">
        <v>32</v>
      </c>
      <c r="E146" s="18">
        <v>1553.7625166625633</v>
      </c>
      <c r="F146" s="18">
        <v>2805.5515801511601</v>
      </c>
      <c r="G146" s="18">
        <v>3168.3539187130036</v>
      </c>
      <c r="H146" s="18">
        <v>3250.2818035154164</v>
      </c>
      <c r="I146" s="18">
        <v>2645.5529532133178</v>
      </c>
      <c r="J146" s="18">
        <v>2711.2404942597677</v>
      </c>
      <c r="L146" s="16" t="s">
        <v>36</v>
      </c>
      <c r="M146" s="17" t="s">
        <v>32</v>
      </c>
      <c r="N146" s="18">
        <v>0</v>
      </c>
      <c r="O146" s="18">
        <v>0</v>
      </c>
      <c r="P146" s="18">
        <v>0</v>
      </c>
      <c r="Q146" s="18">
        <v>0</v>
      </c>
      <c r="R146" s="18">
        <v>0</v>
      </c>
      <c r="S146" s="18">
        <v>0</v>
      </c>
      <c r="U146" s="16" t="s">
        <v>36</v>
      </c>
      <c r="V146" s="17" t="s">
        <v>32</v>
      </c>
      <c r="W146" s="18">
        <f t="shared" si="78"/>
        <v>1553.7625166625633</v>
      </c>
      <c r="X146" s="18">
        <f t="shared" si="73"/>
        <v>2805.5515801511601</v>
      </c>
      <c r="Y146" s="18">
        <f t="shared" si="74"/>
        <v>3168.3539187130036</v>
      </c>
      <c r="Z146" s="18">
        <f t="shared" si="75"/>
        <v>3250.2818035154164</v>
      </c>
      <c r="AA146" s="18">
        <f t="shared" si="76"/>
        <v>2645.5529532133178</v>
      </c>
      <c r="AB146" s="18">
        <f t="shared" si="77"/>
        <v>2711.2404942597677</v>
      </c>
      <c r="AC146" s="19"/>
      <c r="AD146" s="20"/>
      <c r="AE146" s="15"/>
      <c r="AF146" s="21"/>
      <c r="AG146" s="21"/>
      <c r="AH146" s="21"/>
      <c r="AI146" s="21"/>
      <c r="AJ146" s="21"/>
      <c r="AK146" s="21"/>
      <c r="AL146" s="19"/>
      <c r="AM146" s="21"/>
      <c r="AN146" s="21"/>
      <c r="AO146" s="21"/>
      <c r="AP146" s="21"/>
      <c r="AQ146" s="21"/>
      <c r="AR146" s="21"/>
      <c r="AS146" s="21"/>
    </row>
    <row r="147" spans="1:86">
      <c r="C147" s="16" t="s">
        <v>37</v>
      </c>
      <c r="D147" s="17" t="s">
        <v>32</v>
      </c>
      <c r="E147" s="18">
        <v>2516.7534847471384</v>
      </c>
      <c r="F147" s="18">
        <v>1952.9827749824167</v>
      </c>
      <c r="G147" s="18">
        <v>678.71915078840141</v>
      </c>
      <c r="H147" s="18">
        <v>96.109659671902691</v>
      </c>
      <c r="I147" s="18">
        <v>93.986360669207187</v>
      </c>
      <c r="J147" s="18">
        <v>96.575798860276166</v>
      </c>
      <c r="L147" s="16" t="s">
        <v>37</v>
      </c>
      <c r="M147" s="17" t="s">
        <v>32</v>
      </c>
      <c r="N147" s="18">
        <v>1270.2025174747864</v>
      </c>
      <c r="O147" s="18">
        <v>897.22254157041732</v>
      </c>
      <c r="P147" s="18">
        <v>461.41108376480537</v>
      </c>
      <c r="Q147" s="18">
        <v>111.45982270203096</v>
      </c>
      <c r="R147" s="18">
        <v>107.74717096119744</v>
      </c>
      <c r="S147" s="18">
        <v>108.80084976077931</v>
      </c>
      <c r="U147" s="16" t="s">
        <v>37</v>
      </c>
      <c r="V147" s="17" t="s">
        <v>32</v>
      </c>
      <c r="W147" s="18">
        <f t="shared" si="78"/>
        <v>3786.9560022219248</v>
      </c>
      <c r="X147" s="18">
        <f t="shared" si="73"/>
        <v>2850.2053165528341</v>
      </c>
      <c r="Y147" s="18">
        <f t="shared" si="74"/>
        <v>1140.1302345532067</v>
      </c>
      <c r="Z147" s="18">
        <f t="shared" si="75"/>
        <v>207.56948237393365</v>
      </c>
      <c r="AA147" s="18">
        <f t="shared" si="76"/>
        <v>201.73353163040463</v>
      </c>
      <c r="AB147" s="18">
        <f t="shared" si="77"/>
        <v>205.37664862105549</v>
      </c>
      <c r="AC147" s="19"/>
      <c r="AD147" s="20"/>
      <c r="AE147" s="15"/>
      <c r="AF147" s="21"/>
      <c r="AG147" s="21"/>
      <c r="AH147" s="21"/>
      <c r="AI147" s="21"/>
      <c r="AJ147" s="21"/>
      <c r="AK147" s="21"/>
      <c r="AL147" s="19"/>
      <c r="AM147" s="21"/>
      <c r="AN147" s="21"/>
      <c r="AO147" s="21"/>
      <c r="AP147" s="21"/>
      <c r="AQ147" s="21"/>
      <c r="AR147" s="21"/>
      <c r="AS147" s="21"/>
    </row>
    <row r="148" spans="1:86">
      <c r="C148" s="16" t="s">
        <v>38</v>
      </c>
      <c r="D148" s="17" t="s">
        <v>32</v>
      </c>
      <c r="E148" s="18">
        <v>5157.3792385303714</v>
      </c>
      <c r="F148" s="18">
        <v>5038.6005818769181</v>
      </c>
      <c r="G148" s="18">
        <v>5685.8590482320442</v>
      </c>
      <c r="H148" s="18">
        <v>5996.7372109698545</v>
      </c>
      <c r="I148" s="18">
        <v>3024.1781800976232</v>
      </c>
      <c r="J148" s="18">
        <v>2176.8725362314422</v>
      </c>
      <c r="L148" s="16" t="s">
        <v>38</v>
      </c>
      <c r="M148" s="17" t="s">
        <v>32</v>
      </c>
      <c r="N148" s="18">
        <v>36.359328078119646</v>
      </c>
      <c r="O148" s="18">
        <v>24.514809676574309</v>
      </c>
      <c r="P148" s="18">
        <v>37.4793837999758</v>
      </c>
      <c r="Q148" s="18">
        <v>53.828935945474463</v>
      </c>
      <c r="R148" s="18">
        <v>30.747109039596985</v>
      </c>
      <c r="S148" s="18">
        <v>25.316825366836383</v>
      </c>
      <c r="U148" s="16" t="s">
        <v>38</v>
      </c>
      <c r="V148" s="17" t="s">
        <v>32</v>
      </c>
      <c r="W148" s="18">
        <f t="shared" si="78"/>
        <v>5193.7385666084911</v>
      </c>
      <c r="X148" s="18">
        <f t="shared" si="73"/>
        <v>5063.1153915534924</v>
      </c>
      <c r="Y148" s="18">
        <f t="shared" si="74"/>
        <v>5723.3384320320201</v>
      </c>
      <c r="Z148" s="18">
        <f t="shared" si="75"/>
        <v>6050.5661469153292</v>
      </c>
      <c r="AA148" s="18">
        <f t="shared" si="76"/>
        <v>3054.9252891372203</v>
      </c>
      <c r="AB148" s="18">
        <f t="shared" si="77"/>
        <v>2202.1893615982785</v>
      </c>
      <c r="AC148" s="19"/>
      <c r="AD148" s="20"/>
      <c r="AE148" s="15"/>
      <c r="AF148" s="21"/>
      <c r="AG148" s="21"/>
      <c r="AH148" s="21"/>
      <c r="AI148" s="21"/>
      <c r="AJ148" s="21"/>
      <c r="AK148" s="21"/>
      <c r="AL148" s="19"/>
      <c r="AM148" s="21"/>
      <c r="AN148" s="21"/>
      <c r="AO148" s="21"/>
      <c r="AP148" s="21"/>
      <c r="AQ148" s="21"/>
      <c r="AR148" s="21"/>
      <c r="AS148" s="21"/>
    </row>
    <row r="149" spans="1:86">
      <c r="C149" s="16" t="s">
        <v>39</v>
      </c>
      <c r="D149" s="17" t="s">
        <v>32</v>
      </c>
      <c r="E149" s="18">
        <v>0</v>
      </c>
      <c r="F149" s="18">
        <v>0</v>
      </c>
      <c r="G149" s="18">
        <v>0</v>
      </c>
      <c r="H149" s="18">
        <v>0</v>
      </c>
      <c r="I149" s="18">
        <v>0</v>
      </c>
      <c r="J149" s="18">
        <v>0</v>
      </c>
      <c r="L149" s="16" t="s">
        <v>39</v>
      </c>
      <c r="M149" s="17" t="s">
        <v>32</v>
      </c>
      <c r="N149" s="18">
        <v>0</v>
      </c>
      <c r="O149" s="18">
        <v>0</v>
      </c>
      <c r="P149" s="18">
        <v>0</v>
      </c>
      <c r="Q149" s="18">
        <v>0</v>
      </c>
      <c r="R149" s="18">
        <v>0</v>
      </c>
      <c r="S149" s="18">
        <v>0</v>
      </c>
      <c r="U149" s="16" t="s">
        <v>39</v>
      </c>
      <c r="V149" s="17" t="s">
        <v>32</v>
      </c>
      <c r="W149" s="18">
        <f t="shared" si="78"/>
        <v>0</v>
      </c>
      <c r="X149" s="18">
        <f t="shared" si="73"/>
        <v>0</v>
      </c>
      <c r="Y149" s="18">
        <f t="shared" si="74"/>
        <v>0</v>
      </c>
      <c r="Z149" s="18">
        <f t="shared" si="75"/>
        <v>0</v>
      </c>
      <c r="AA149" s="18">
        <f t="shared" si="76"/>
        <v>0</v>
      </c>
      <c r="AB149" s="18">
        <f t="shared" si="77"/>
        <v>0</v>
      </c>
      <c r="AC149" s="19"/>
      <c r="AD149" s="20"/>
      <c r="AE149" s="15"/>
      <c r="AF149" s="21"/>
      <c r="AG149" s="21"/>
      <c r="AH149" s="21"/>
      <c r="AI149" s="21"/>
      <c r="AJ149" s="21"/>
      <c r="AK149" s="21"/>
      <c r="AL149" s="19"/>
      <c r="AM149" s="21"/>
      <c r="AN149" s="21"/>
      <c r="AO149" s="21"/>
      <c r="AP149" s="21"/>
      <c r="AQ149" s="21"/>
      <c r="AR149" s="21"/>
      <c r="AS149" s="21"/>
    </row>
    <row r="150" spans="1:86">
      <c r="A150" s="22"/>
      <c r="C150" s="23" t="s">
        <v>40</v>
      </c>
      <c r="D150" s="17" t="s">
        <v>32</v>
      </c>
      <c r="E150" s="24">
        <v>74150.804894106026</v>
      </c>
      <c r="F150" s="24">
        <v>84689.215265253501</v>
      </c>
      <c r="G150" s="24">
        <v>102563.45333729377</v>
      </c>
      <c r="H150" s="24">
        <v>125079.88947125468</v>
      </c>
      <c r="I150" s="24">
        <v>134341.39746833083</v>
      </c>
      <c r="J150" s="24">
        <v>142641.84916642055</v>
      </c>
      <c r="L150" s="23" t="s">
        <v>40</v>
      </c>
      <c r="M150" s="17" t="s">
        <v>32</v>
      </c>
      <c r="N150" s="24">
        <v>16661.265654593593</v>
      </c>
      <c r="O150" s="24">
        <v>14643.025962446049</v>
      </c>
      <c r="P150" s="24">
        <v>15104.059532915679</v>
      </c>
      <c r="Q150" s="24">
        <v>14474.192878595237</v>
      </c>
      <c r="R150" s="24">
        <v>14644.979360938056</v>
      </c>
      <c r="S150" s="24">
        <v>15043.352589850034</v>
      </c>
      <c r="U150" s="23" t="s">
        <v>40</v>
      </c>
      <c r="V150" s="17" t="s">
        <v>32</v>
      </c>
      <c r="W150" s="24">
        <f>SUM(W142:W149)</f>
        <v>90812.070548699616</v>
      </c>
      <c r="X150" s="24">
        <f t="shared" ref="X150:AB150" si="79">SUM(X142:X149)</f>
        <v>99332.241227699546</v>
      </c>
      <c r="Y150" s="24">
        <f t="shared" si="79"/>
        <v>117667.51287020945</v>
      </c>
      <c r="Z150" s="24">
        <f t="shared" si="79"/>
        <v>139554.08234984995</v>
      </c>
      <c r="AA150" s="24">
        <f t="shared" si="79"/>
        <v>148986.37682926888</v>
      </c>
      <c r="AB150" s="24">
        <f t="shared" si="79"/>
        <v>157685.20175627057</v>
      </c>
      <c r="AC150" s="25"/>
      <c r="AD150" s="26"/>
      <c r="AE150" s="15"/>
      <c r="AF150" s="27"/>
      <c r="AG150" s="27"/>
      <c r="AH150" s="27"/>
      <c r="AI150" s="27"/>
      <c r="AJ150" s="27"/>
      <c r="AK150" s="27"/>
      <c r="AL150" s="25"/>
      <c r="AM150" s="27"/>
      <c r="AN150" s="27"/>
      <c r="AO150" s="27"/>
      <c r="AP150" s="27"/>
      <c r="AQ150" s="27"/>
      <c r="AR150" s="27"/>
      <c r="AS150" s="27"/>
    </row>
    <row r="152" spans="1:86">
      <c r="C152" s="9" t="s">
        <v>19</v>
      </c>
      <c r="D152" s="9"/>
      <c r="E152" s="9"/>
      <c r="F152" s="9"/>
      <c r="G152" s="9"/>
      <c r="H152" s="9"/>
      <c r="I152" s="9"/>
      <c r="J152" s="9"/>
      <c r="L152" s="9" t="s">
        <v>19</v>
      </c>
      <c r="M152" s="9"/>
      <c r="N152" s="9"/>
      <c r="O152" s="9"/>
      <c r="P152" s="9"/>
      <c r="Q152" s="9"/>
      <c r="R152" s="9"/>
      <c r="S152" s="9"/>
      <c r="U152" s="9" t="str">
        <f>L152</f>
        <v>Lithium</v>
      </c>
      <c r="V152" s="9"/>
      <c r="W152" s="9"/>
      <c r="X152" s="9"/>
      <c r="Y152" s="9"/>
      <c r="Z152" s="9"/>
      <c r="AA152" s="9"/>
      <c r="AB152" s="9"/>
      <c r="AC152" s="8"/>
      <c r="AD152" s="10"/>
      <c r="AE152" s="10"/>
      <c r="AF152" s="10"/>
      <c r="AG152" s="10"/>
      <c r="AH152" s="10"/>
      <c r="AI152" s="10"/>
      <c r="AJ152" s="10"/>
      <c r="AK152" s="10"/>
      <c r="AL152" s="8"/>
      <c r="AM152" s="10"/>
      <c r="AN152" s="10"/>
      <c r="AO152" s="10"/>
      <c r="AP152" s="10"/>
      <c r="AQ152" s="10"/>
      <c r="AR152" s="10"/>
      <c r="AS152" s="10"/>
    </row>
    <row r="153" spans="1:86" s="15" customFormat="1">
      <c r="A153" s="11"/>
      <c r="B153" s="11"/>
      <c r="C153" s="60"/>
      <c r="D153" s="60" t="s">
        <v>11</v>
      </c>
      <c r="E153" s="61">
        <v>2020</v>
      </c>
      <c r="F153" s="61">
        <v>2021</v>
      </c>
      <c r="G153" s="61">
        <v>2022</v>
      </c>
      <c r="H153" s="61">
        <v>2023</v>
      </c>
      <c r="I153" s="61">
        <v>2024</v>
      </c>
      <c r="J153" s="61">
        <v>2025</v>
      </c>
      <c r="K153" s="11"/>
      <c r="L153" s="60"/>
      <c r="M153" s="60" t="s">
        <v>11</v>
      </c>
      <c r="N153" s="61">
        <v>2020</v>
      </c>
      <c r="O153" s="61">
        <v>2021</v>
      </c>
      <c r="P153" s="61">
        <v>2022</v>
      </c>
      <c r="Q153" s="61">
        <v>2023</v>
      </c>
      <c r="R153" s="61">
        <v>2024</v>
      </c>
      <c r="S153" s="61">
        <v>2025</v>
      </c>
      <c r="T153" s="11"/>
      <c r="U153" s="60"/>
      <c r="V153" s="60" t="s">
        <v>11</v>
      </c>
      <c r="W153" s="61">
        <v>2020</v>
      </c>
      <c r="X153" s="61">
        <v>2021</v>
      </c>
      <c r="Y153" s="61">
        <v>2022</v>
      </c>
      <c r="Z153" s="61">
        <v>2023</v>
      </c>
      <c r="AA153" s="61">
        <v>2024</v>
      </c>
      <c r="AB153" s="61">
        <v>2025</v>
      </c>
      <c r="AC153" s="12"/>
      <c r="AD153" s="11"/>
      <c r="AE153" s="11"/>
      <c r="AF153" s="13"/>
      <c r="AG153" s="13"/>
      <c r="AH153" s="13"/>
      <c r="AI153" s="13"/>
      <c r="AJ153" s="13"/>
      <c r="AK153" s="13"/>
      <c r="AL153" s="12"/>
      <c r="AM153" s="13"/>
      <c r="AN153" s="13"/>
      <c r="AO153" s="13"/>
      <c r="AP153" s="13"/>
      <c r="AQ153" s="13"/>
      <c r="AR153" s="13"/>
      <c r="AS153" s="13"/>
      <c r="AT153" s="11"/>
      <c r="AU153" s="11"/>
      <c r="AV153" s="11"/>
      <c r="AW153" s="11"/>
      <c r="AX153" s="11"/>
      <c r="AY153" s="11"/>
      <c r="AZ153" s="11"/>
      <c r="BA153" s="11"/>
      <c r="BB153" s="11"/>
      <c r="BC153" s="11"/>
      <c r="BD153" s="14"/>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row>
    <row r="154" spans="1:86">
      <c r="A154" s="11"/>
      <c r="B154" s="11"/>
      <c r="C154" s="16" t="s">
        <v>31</v>
      </c>
      <c r="D154" s="17" t="s">
        <v>32</v>
      </c>
      <c r="E154" s="18">
        <v>30.79699413427107</v>
      </c>
      <c r="F154" s="18">
        <v>34.234911639189392</v>
      </c>
      <c r="G154" s="18">
        <v>31.300789600575818</v>
      </c>
      <c r="H154" s="18">
        <v>50.37049924555388</v>
      </c>
      <c r="I154" s="18">
        <v>78.516596289677622</v>
      </c>
      <c r="J154" s="18">
        <v>144.74870198018144</v>
      </c>
      <c r="K154" s="11"/>
      <c r="L154" s="16" t="s">
        <v>31</v>
      </c>
      <c r="M154" s="17" t="s">
        <v>32</v>
      </c>
      <c r="N154" s="18">
        <v>5.7666477649330048</v>
      </c>
      <c r="O154" s="18">
        <v>6.2680317194319493</v>
      </c>
      <c r="P154" s="18">
        <v>5.0666099758951626</v>
      </c>
      <c r="Q154" s="18">
        <v>1.9719076247243159</v>
      </c>
      <c r="R154" s="18">
        <v>1.919443304651498</v>
      </c>
      <c r="S154" s="18">
        <v>2.4448086011882806</v>
      </c>
      <c r="T154" s="11"/>
      <c r="U154" s="16" t="s">
        <v>31</v>
      </c>
      <c r="V154" s="17" t="s">
        <v>32</v>
      </c>
      <c r="W154" s="18">
        <f>E154+N154</f>
        <v>36.563641899204072</v>
      </c>
      <c r="X154" s="18">
        <f t="shared" ref="X154:X161" si="80">F154+O154</f>
        <v>40.502943358621337</v>
      </c>
      <c r="Y154" s="18">
        <f t="shared" ref="Y154:Y161" si="81">G154+P154</f>
        <v>36.36739957647098</v>
      </c>
      <c r="Z154" s="18">
        <f t="shared" ref="Z154:Z161" si="82">H154+Q154</f>
        <v>52.342406870278197</v>
      </c>
      <c r="AA154" s="18">
        <f t="shared" ref="AA154:AA161" si="83">I154+R154</f>
        <v>80.436039594329117</v>
      </c>
      <c r="AB154" s="18">
        <f t="shared" ref="AB154:AB161" si="84">J154+S154</f>
        <v>147.19351058136971</v>
      </c>
      <c r="AC154" s="19"/>
      <c r="AD154" s="20"/>
      <c r="AE154" s="15"/>
      <c r="AF154" s="21"/>
      <c r="AG154" s="21"/>
      <c r="AH154" s="21"/>
      <c r="AI154" s="21"/>
      <c r="AJ154" s="21"/>
      <c r="AK154" s="21"/>
      <c r="AL154" s="19"/>
      <c r="AM154" s="21"/>
      <c r="AN154" s="21"/>
      <c r="AO154" s="21"/>
      <c r="AP154" s="21"/>
      <c r="AQ154" s="21"/>
      <c r="AR154" s="21"/>
      <c r="AS154" s="21"/>
      <c r="AT154" s="11"/>
      <c r="AU154" s="11"/>
      <c r="AV154" s="11"/>
      <c r="AW154" s="11"/>
      <c r="AX154" s="11"/>
      <c r="AY154" s="11"/>
      <c r="AZ154" s="11"/>
      <c r="BA154" s="11"/>
      <c r="BB154" s="11"/>
      <c r="BC154" s="11"/>
      <c r="BD154" s="14"/>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11"/>
      <c r="CG154" s="11"/>
      <c r="CH154" s="11"/>
    </row>
    <row r="155" spans="1:86">
      <c r="C155" s="16" t="s">
        <v>33</v>
      </c>
      <c r="D155" s="17" t="s">
        <v>32</v>
      </c>
      <c r="E155" s="18">
        <v>0</v>
      </c>
      <c r="F155" s="18">
        <v>0</v>
      </c>
      <c r="G155" s="18">
        <v>0</v>
      </c>
      <c r="H155" s="18">
        <v>0</v>
      </c>
      <c r="I155" s="18">
        <v>0</v>
      </c>
      <c r="J155" s="18">
        <v>0</v>
      </c>
      <c r="L155" s="16" t="s">
        <v>33</v>
      </c>
      <c r="M155" s="17" t="s">
        <v>32</v>
      </c>
      <c r="N155" s="18">
        <v>0</v>
      </c>
      <c r="O155" s="18">
        <v>0</v>
      </c>
      <c r="P155" s="18">
        <v>0</v>
      </c>
      <c r="Q155" s="18">
        <v>0</v>
      </c>
      <c r="R155" s="18">
        <v>0</v>
      </c>
      <c r="S155" s="18">
        <v>0</v>
      </c>
      <c r="U155" s="16" t="s">
        <v>33</v>
      </c>
      <c r="V155" s="17" t="s">
        <v>32</v>
      </c>
      <c r="W155" s="18">
        <f t="shared" ref="W155:W161" si="85">E155+N155</f>
        <v>0</v>
      </c>
      <c r="X155" s="18">
        <f t="shared" si="80"/>
        <v>0</v>
      </c>
      <c r="Y155" s="18">
        <f t="shared" si="81"/>
        <v>0</v>
      </c>
      <c r="Z155" s="18">
        <f t="shared" si="82"/>
        <v>0</v>
      </c>
      <c r="AA155" s="18">
        <f t="shared" si="83"/>
        <v>0</v>
      </c>
      <c r="AB155" s="18">
        <f t="shared" si="84"/>
        <v>0</v>
      </c>
      <c r="AC155" s="19"/>
      <c r="AD155" s="20"/>
      <c r="AE155" s="15"/>
      <c r="AF155" s="21"/>
      <c r="AG155" s="21"/>
      <c r="AH155" s="21"/>
      <c r="AI155" s="21"/>
      <c r="AJ155" s="21"/>
      <c r="AK155" s="21"/>
      <c r="AL155" s="19"/>
      <c r="AM155" s="21"/>
      <c r="AN155" s="21"/>
      <c r="AO155" s="21"/>
      <c r="AP155" s="21"/>
      <c r="AQ155" s="21"/>
      <c r="AR155" s="21"/>
      <c r="AS155" s="21"/>
    </row>
    <row r="156" spans="1:86">
      <c r="C156" s="16" t="s">
        <v>34</v>
      </c>
      <c r="D156" s="17" t="s">
        <v>32</v>
      </c>
      <c r="E156" s="18">
        <v>187.40431123831908</v>
      </c>
      <c r="F156" s="18">
        <v>212.03819263642731</v>
      </c>
      <c r="G156" s="18">
        <v>263.68176298829866</v>
      </c>
      <c r="H156" s="18">
        <v>312.59588078163006</v>
      </c>
      <c r="I156" s="18">
        <v>488.58561792720064</v>
      </c>
      <c r="J156" s="18">
        <v>909.30732379116637</v>
      </c>
      <c r="L156" s="16" t="s">
        <v>34</v>
      </c>
      <c r="M156" s="17" t="s">
        <v>32</v>
      </c>
      <c r="N156" s="18">
        <v>92.905664333850922</v>
      </c>
      <c r="O156" s="18">
        <v>116.80336451870521</v>
      </c>
      <c r="P156" s="18">
        <v>142.42982601876491</v>
      </c>
      <c r="Q156" s="18">
        <v>149.25688142255527</v>
      </c>
      <c r="R156" s="18">
        <v>186.98962348584448</v>
      </c>
      <c r="S156" s="18">
        <v>299.90492156946101</v>
      </c>
      <c r="U156" s="16" t="s">
        <v>34</v>
      </c>
      <c r="V156" s="17" t="s">
        <v>32</v>
      </c>
      <c r="W156" s="18">
        <f t="shared" si="85"/>
        <v>280.30997557217</v>
      </c>
      <c r="X156" s="18">
        <f t="shared" si="80"/>
        <v>328.84155715513253</v>
      </c>
      <c r="Y156" s="18">
        <f t="shared" si="81"/>
        <v>406.11158900706357</v>
      </c>
      <c r="Z156" s="18">
        <f t="shared" si="82"/>
        <v>461.8527622041853</v>
      </c>
      <c r="AA156" s="18">
        <f t="shared" si="83"/>
        <v>675.57524141304509</v>
      </c>
      <c r="AB156" s="18">
        <f t="shared" si="84"/>
        <v>1209.2122453606273</v>
      </c>
      <c r="AC156" s="19"/>
      <c r="AD156" s="20"/>
      <c r="AE156" s="15"/>
      <c r="AF156" s="21"/>
      <c r="AG156" s="21"/>
      <c r="AH156" s="21"/>
      <c r="AI156" s="21"/>
      <c r="AJ156" s="21"/>
      <c r="AK156" s="21"/>
      <c r="AL156" s="19"/>
      <c r="AM156" s="21"/>
      <c r="AN156" s="21"/>
      <c r="AO156" s="21"/>
      <c r="AP156" s="21"/>
      <c r="AQ156" s="21"/>
      <c r="AR156" s="21"/>
      <c r="AS156" s="21"/>
    </row>
    <row r="157" spans="1:86">
      <c r="C157" s="16" t="s">
        <v>35</v>
      </c>
      <c r="D157" s="17" t="s">
        <v>32</v>
      </c>
      <c r="E157" s="18">
        <v>998.69440504490683</v>
      </c>
      <c r="F157" s="18">
        <v>1477.7433977899323</v>
      </c>
      <c r="G157" s="18">
        <v>1847.4476939696472</v>
      </c>
      <c r="H157" s="18">
        <v>2430.1735428192173</v>
      </c>
      <c r="I157" s="18">
        <v>3446.0000713268146</v>
      </c>
      <c r="J157" s="18">
        <v>4920.9770493517362</v>
      </c>
      <c r="L157" s="16" t="s">
        <v>35</v>
      </c>
      <c r="M157" s="17" t="s">
        <v>32</v>
      </c>
      <c r="N157" s="18">
        <v>208.83922237559071</v>
      </c>
      <c r="O157" s="18">
        <v>282.77535965632683</v>
      </c>
      <c r="P157" s="18">
        <v>380.93310243905404</v>
      </c>
      <c r="Q157" s="18">
        <v>560.56622959990375</v>
      </c>
      <c r="R157" s="18">
        <v>576.8462616341792</v>
      </c>
      <c r="S157" s="18">
        <v>794.54502113444346</v>
      </c>
      <c r="U157" s="16" t="s">
        <v>35</v>
      </c>
      <c r="V157" s="17" t="s">
        <v>32</v>
      </c>
      <c r="W157" s="18">
        <f t="shared" si="85"/>
        <v>1207.5336274204976</v>
      </c>
      <c r="X157" s="18">
        <f t="shared" si="80"/>
        <v>1760.5187574462591</v>
      </c>
      <c r="Y157" s="18">
        <f t="shared" si="81"/>
        <v>2228.3807964087014</v>
      </c>
      <c r="Z157" s="18">
        <f t="shared" si="82"/>
        <v>2990.739772419121</v>
      </c>
      <c r="AA157" s="18">
        <f t="shared" si="83"/>
        <v>4022.846332960994</v>
      </c>
      <c r="AB157" s="18">
        <f t="shared" si="84"/>
        <v>5715.5220704861795</v>
      </c>
      <c r="AC157" s="19"/>
      <c r="AD157" s="20"/>
      <c r="AE157" s="15"/>
      <c r="AF157" s="21"/>
      <c r="AG157" s="21"/>
      <c r="AH157" s="21"/>
      <c r="AI157" s="21"/>
      <c r="AJ157" s="21"/>
      <c r="AK157" s="21"/>
      <c r="AL157" s="19"/>
      <c r="AM157" s="21"/>
      <c r="AN157" s="21"/>
      <c r="AO157" s="21"/>
      <c r="AP157" s="21"/>
      <c r="AQ157" s="21"/>
      <c r="AR157" s="21"/>
      <c r="AS157" s="21"/>
    </row>
    <row r="158" spans="1:86">
      <c r="C158" s="16" t="s">
        <v>36</v>
      </c>
      <c r="D158" s="17" t="s">
        <v>32</v>
      </c>
      <c r="E158" s="18">
        <v>5.1194959844011798</v>
      </c>
      <c r="F158" s="18">
        <v>15.03823779683794</v>
      </c>
      <c r="G158" s="18">
        <v>17.539217796837939</v>
      </c>
      <c r="H158" s="18">
        <v>69.318363729359845</v>
      </c>
      <c r="I158" s="18">
        <v>140.97216343376309</v>
      </c>
      <c r="J158" s="18">
        <v>241.37821219693618</v>
      </c>
      <c r="L158" s="16" t="s">
        <v>36</v>
      </c>
      <c r="M158" s="17" t="s">
        <v>32</v>
      </c>
      <c r="N158" s="18">
        <v>0</v>
      </c>
      <c r="O158" s="18">
        <v>0</v>
      </c>
      <c r="P158" s="18">
        <v>0</v>
      </c>
      <c r="Q158" s="18">
        <v>0</v>
      </c>
      <c r="R158" s="18">
        <v>0</v>
      </c>
      <c r="S158" s="18">
        <v>0</v>
      </c>
      <c r="U158" s="16" t="s">
        <v>36</v>
      </c>
      <c r="V158" s="17" t="s">
        <v>32</v>
      </c>
      <c r="W158" s="18">
        <f t="shared" si="85"/>
        <v>5.1194959844011798</v>
      </c>
      <c r="X158" s="18">
        <f t="shared" si="80"/>
        <v>15.03823779683794</v>
      </c>
      <c r="Y158" s="18">
        <f t="shared" si="81"/>
        <v>17.539217796837939</v>
      </c>
      <c r="Z158" s="18">
        <f t="shared" si="82"/>
        <v>69.318363729359845</v>
      </c>
      <c r="AA158" s="18">
        <f t="shared" si="83"/>
        <v>140.97216343376309</v>
      </c>
      <c r="AB158" s="18">
        <f t="shared" si="84"/>
        <v>241.37821219693618</v>
      </c>
      <c r="AC158" s="19"/>
      <c r="AD158" s="20"/>
      <c r="AE158" s="15"/>
      <c r="AF158" s="21"/>
      <c r="AG158" s="21"/>
      <c r="AH158" s="21"/>
      <c r="AI158" s="21"/>
      <c r="AJ158" s="21"/>
      <c r="AK158" s="21"/>
      <c r="AL158" s="19"/>
      <c r="AM158" s="21"/>
      <c r="AN158" s="21"/>
      <c r="AO158" s="21"/>
      <c r="AP158" s="21"/>
      <c r="AQ158" s="21"/>
      <c r="AR158" s="21"/>
      <c r="AS158" s="21"/>
    </row>
    <row r="159" spans="1:86">
      <c r="C159" s="16" t="s">
        <v>37</v>
      </c>
      <c r="D159" s="17" t="s">
        <v>32</v>
      </c>
      <c r="E159" s="18">
        <v>0</v>
      </c>
      <c r="F159" s="18">
        <v>0</v>
      </c>
      <c r="G159" s="18">
        <v>0</v>
      </c>
      <c r="H159" s="18">
        <v>0</v>
      </c>
      <c r="I159" s="18">
        <v>0</v>
      </c>
      <c r="J159" s="18">
        <v>0</v>
      </c>
      <c r="L159" s="16" t="s">
        <v>37</v>
      </c>
      <c r="M159" s="17" t="s">
        <v>32</v>
      </c>
      <c r="N159" s="18">
        <v>0</v>
      </c>
      <c r="O159" s="18">
        <v>0</v>
      </c>
      <c r="P159" s="18">
        <v>0</v>
      </c>
      <c r="Q159" s="18">
        <v>0</v>
      </c>
      <c r="R159" s="18">
        <v>0</v>
      </c>
      <c r="S159" s="18">
        <v>0</v>
      </c>
      <c r="U159" s="16" t="s">
        <v>37</v>
      </c>
      <c r="V159" s="17" t="s">
        <v>32</v>
      </c>
      <c r="W159" s="18">
        <f t="shared" si="85"/>
        <v>0</v>
      </c>
      <c r="X159" s="18">
        <f t="shared" si="80"/>
        <v>0</v>
      </c>
      <c r="Y159" s="18">
        <f t="shared" si="81"/>
        <v>0</v>
      </c>
      <c r="Z159" s="18">
        <f t="shared" si="82"/>
        <v>0</v>
      </c>
      <c r="AA159" s="18">
        <f t="shared" si="83"/>
        <v>0</v>
      </c>
      <c r="AB159" s="18">
        <f t="shared" si="84"/>
        <v>0</v>
      </c>
      <c r="AC159" s="19"/>
      <c r="AD159" s="20"/>
      <c r="AE159" s="15"/>
      <c r="AF159" s="21"/>
      <c r="AG159" s="21"/>
      <c r="AH159" s="21"/>
      <c r="AI159" s="21"/>
      <c r="AJ159" s="21"/>
      <c r="AK159" s="21"/>
      <c r="AL159" s="19"/>
      <c r="AM159" s="21"/>
      <c r="AN159" s="21"/>
      <c r="AO159" s="21"/>
      <c r="AP159" s="21"/>
      <c r="AQ159" s="21"/>
      <c r="AR159" s="21"/>
      <c r="AS159" s="21"/>
    </row>
    <row r="160" spans="1:86">
      <c r="C160" s="16" t="s">
        <v>38</v>
      </c>
      <c r="D160" s="17" t="s">
        <v>32</v>
      </c>
      <c r="E160" s="18">
        <v>240.85185467158951</v>
      </c>
      <c r="F160" s="18">
        <v>333.73237182410242</v>
      </c>
      <c r="G160" s="18">
        <v>498.77200947525586</v>
      </c>
      <c r="H160" s="18">
        <v>652.01125674314346</v>
      </c>
      <c r="I160" s="18">
        <v>818.05487144605036</v>
      </c>
      <c r="J160" s="18">
        <v>1129.4690868553498</v>
      </c>
      <c r="L160" s="16" t="s">
        <v>38</v>
      </c>
      <c r="M160" s="17" t="s">
        <v>32</v>
      </c>
      <c r="N160" s="18">
        <v>66.084849858026701</v>
      </c>
      <c r="O160" s="18">
        <v>94.012558584155897</v>
      </c>
      <c r="P160" s="18">
        <v>124.80663259662697</v>
      </c>
      <c r="Q160" s="18">
        <v>146.16620139428932</v>
      </c>
      <c r="R160" s="18">
        <v>155.90481336029808</v>
      </c>
      <c r="S160" s="18">
        <v>213.26840238901912</v>
      </c>
      <c r="U160" s="16" t="s">
        <v>38</v>
      </c>
      <c r="V160" s="17" t="s">
        <v>32</v>
      </c>
      <c r="W160" s="18">
        <f t="shared" si="85"/>
        <v>306.93670452961624</v>
      </c>
      <c r="X160" s="18">
        <f t="shared" si="80"/>
        <v>427.74493040825831</v>
      </c>
      <c r="Y160" s="18">
        <f t="shared" si="81"/>
        <v>623.57864207188277</v>
      </c>
      <c r="Z160" s="18">
        <f t="shared" si="82"/>
        <v>798.17745813743272</v>
      </c>
      <c r="AA160" s="18">
        <f t="shared" si="83"/>
        <v>973.95968480634838</v>
      </c>
      <c r="AB160" s="18">
        <f t="shared" si="84"/>
        <v>1342.737489244369</v>
      </c>
      <c r="AC160" s="19"/>
      <c r="AD160" s="20"/>
      <c r="AE160" s="15"/>
      <c r="AF160" s="21"/>
      <c r="AG160" s="21"/>
      <c r="AH160" s="21"/>
      <c r="AI160" s="21"/>
      <c r="AJ160" s="21"/>
      <c r="AK160" s="21"/>
      <c r="AL160" s="19"/>
      <c r="AM160" s="21"/>
      <c r="AN160" s="21"/>
      <c r="AO160" s="21"/>
      <c r="AP160" s="21"/>
      <c r="AQ160" s="21"/>
      <c r="AR160" s="21"/>
      <c r="AS160" s="21"/>
    </row>
    <row r="161" spans="1:86">
      <c r="C161" s="16" t="s">
        <v>39</v>
      </c>
      <c r="D161" s="17" t="s">
        <v>32</v>
      </c>
      <c r="E161" s="18">
        <v>0</v>
      </c>
      <c r="F161" s="18">
        <v>0</v>
      </c>
      <c r="G161" s="18">
        <v>0</v>
      </c>
      <c r="H161" s="18">
        <v>0</v>
      </c>
      <c r="I161" s="18">
        <v>0</v>
      </c>
      <c r="J161" s="18">
        <v>0</v>
      </c>
      <c r="L161" s="16" t="s">
        <v>39</v>
      </c>
      <c r="M161" s="17" t="s">
        <v>32</v>
      </c>
      <c r="N161" s="18">
        <v>0</v>
      </c>
      <c r="O161" s="18">
        <v>0</v>
      </c>
      <c r="P161" s="18">
        <v>0</v>
      </c>
      <c r="Q161" s="18">
        <v>0</v>
      </c>
      <c r="R161" s="18">
        <v>0</v>
      </c>
      <c r="S161" s="18">
        <v>0</v>
      </c>
      <c r="U161" s="16" t="s">
        <v>39</v>
      </c>
      <c r="V161" s="17" t="s">
        <v>32</v>
      </c>
      <c r="W161" s="18">
        <f t="shared" si="85"/>
        <v>0</v>
      </c>
      <c r="X161" s="18">
        <f t="shared" si="80"/>
        <v>0</v>
      </c>
      <c r="Y161" s="18">
        <f t="shared" si="81"/>
        <v>0</v>
      </c>
      <c r="Z161" s="18">
        <f t="shared" si="82"/>
        <v>0</v>
      </c>
      <c r="AA161" s="18">
        <f t="shared" si="83"/>
        <v>0</v>
      </c>
      <c r="AB161" s="18">
        <f t="shared" si="84"/>
        <v>0</v>
      </c>
      <c r="AC161" s="19"/>
      <c r="AD161" s="20"/>
      <c r="AE161" s="15"/>
      <c r="AF161" s="21"/>
      <c r="AG161" s="21"/>
      <c r="AH161" s="21"/>
      <c r="AI161" s="21"/>
      <c r="AJ161" s="21"/>
      <c r="AK161" s="21"/>
      <c r="AL161" s="19"/>
      <c r="AM161" s="21"/>
      <c r="AN161" s="21"/>
      <c r="AO161" s="21"/>
      <c r="AP161" s="21"/>
      <c r="AQ161" s="21"/>
      <c r="AR161" s="21"/>
      <c r="AS161" s="21"/>
    </row>
    <row r="162" spans="1:86">
      <c r="A162" s="22"/>
      <c r="C162" s="23" t="s">
        <v>40</v>
      </c>
      <c r="D162" s="17" t="s">
        <v>32</v>
      </c>
      <c r="E162" s="24">
        <v>1462.8670610734878</v>
      </c>
      <c r="F162" s="24">
        <v>2072.7871116864894</v>
      </c>
      <c r="G162" s="24">
        <v>2658.7414738306152</v>
      </c>
      <c r="H162" s="24">
        <v>3514.4695433189049</v>
      </c>
      <c r="I162" s="24">
        <v>4972.1293204235062</v>
      </c>
      <c r="J162" s="24">
        <v>7345.88037417537</v>
      </c>
      <c r="L162" s="23" t="s">
        <v>40</v>
      </c>
      <c r="M162" s="17" t="s">
        <v>32</v>
      </c>
      <c r="N162" s="24">
        <v>373.59638433240133</v>
      </c>
      <c r="O162" s="24">
        <v>499.85931447861986</v>
      </c>
      <c r="P162" s="24">
        <v>653.2361710303411</v>
      </c>
      <c r="Q162" s="24">
        <v>857.96122004147264</v>
      </c>
      <c r="R162" s="24">
        <v>921.66014178497335</v>
      </c>
      <c r="S162" s="24">
        <v>1310.1631536941118</v>
      </c>
      <c r="U162" s="23" t="s">
        <v>40</v>
      </c>
      <c r="V162" s="17" t="s">
        <v>32</v>
      </c>
      <c r="W162" s="24">
        <f>SUM(W154:W161)</f>
        <v>1836.4634454058892</v>
      </c>
      <c r="X162" s="24">
        <f t="shared" ref="X162:AB162" si="86">SUM(X154:X161)</f>
        <v>2572.6464261651095</v>
      </c>
      <c r="Y162" s="24">
        <f t="shared" si="86"/>
        <v>3311.9776448609564</v>
      </c>
      <c r="Z162" s="24">
        <f t="shared" si="86"/>
        <v>4372.4307633603776</v>
      </c>
      <c r="AA162" s="24">
        <f t="shared" si="86"/>
        <v>5893.7894622084796</v>
      </c>
      <c r="AB162" s="24">
        <f t="shared" si="86"/>
        <v>8656.0435278694822</v>
      </c>
      <c r="AC162" s="25"/>
      <c r="AD162" s="26"/>
      <c r="AE162" s="15"/>
      <c r="AF162" s="27"/>
      <c r="AG162" s="27"/>
      <c r="AH162" s="27"/>
      <c r="AI162" s="27"/>
      <c r="AJ162" s="27"/>
      <c r="AK162" s="27"/>
      <c r="AL162" s="25"/>
      <c r="AM162" s="27"/>
      <c r="AN162" s="27"/>
      <c r="AO162" s="27"/>
      <c r="AP162" s="27"/>
      <c r="AQ162" s="27"/>
      <c r="AR162" s="27"/>
      <c r="AS162" s="27"/>
    </row>
    <row r="164" spans="1:86" ht="14.7" thickBot="1">
      <c r="C164" s="9" t="s">
        <v>18</v>
      </c>
      <c r="D164" s="9"/>
      <c r="E164" s="9"/>
      <c r="F164" s="9"/>
      <c r="G164" s="9"/>
      <c r="H164" s="9"/>
      <c r="I164" s="9"/>
      <c r="J164" s="9"/>
      <c r="L164" s="9" t="s">
        <v>18</v>
      </c>
      <c r="M164" s="9"/>
      <c r="N164" s="9"/>
      <c r="O164" s="9"/>
      <c r="P164" s="9"/>
      <c r="Q164" s="9"/>
      <c r="R164" s="9"/>
      <c r="S164" s="9"/>
      <c r="U164" s="9" t="str">
        <f>L164</f>
        <v>Iron Ore</v>
      </c>
      <c r="V164" s="9"/>
      <c r="W164" s="9"/>
      <c r="X164" s="9"/>
      <c r="Y164" s="9"/>
      <c r="Z164" s="9"/>
      <c r="AA164" s="9"/>
      <c r="AB164" s="9"/>
      <c r="AC164" s="8"/>
      <c r="AD164" s="10"/>
      <c r="AE164" s="10"/>
      <c r="AF164" s="10"/>
      <c r="AG164" s="10"/>
      <c r="AH164" s="10"/>
      <c r="AI164" s="10"/>
      <c r="AJ164" s="10"/>
      <c r="AK164" s="10"/>
      <c r="AL164" s="8"/>
      <c r="AM164" s="10"/>
      <c r="AN164" s="10"/>
      <c r="AO164" s="10"/>
      <c r="AP164" s="10"/>
      <c r="AQ164" s="10"/>
      <c r="AR164" s="10"/>
      <c r="AS164" s="10"/>
    </row>
    <row r="165" spans="1:86" s="15" customFormat="1">
      <c r="A165" s="11"/>
      <c r="B165" s="11"/>
      <c r="C165" s="60"/>
      <c r="D165" s="60" t="s">
        <v>11</v>
      </c>
      <c r="E165" s="61">
        <v>2020</v>
      </c>
      <c r="F165" s="61">
        <v>2021</v>
      </c>
      <c r="G165" s="61">
        <v>2022</v>
      </c>
      <c r="H165" s="61">
        <v>2023</v>
      </c>
      <c r="I165" s="61">
        <v>2024</v>
      </c>
      <c r="J165" s="61">
        <v>2025</v>
      </c>
      <c r="K165" s="11"/>
      <c r="L165" s="60"/>
      <c r="M165" s="60" t="s">
        <v>11</v>
      </c>
      <c r="N165" s="61">
        <v>2020</v>
      </c>
      <c r="O165" s="61">
        <v>2021</v>
      </c>
      <c r="P165" s="61">
        <v>2022</v>
      </c>
      <c r="Q165" s="61">
        <v>2023</v>
      </c>
      <c r="R165" s="61">
        <v>2024</v>
      </c>
      <c r="S165" s="61">
        <v>2025</v>
      </c>
      <c r="T165" s="11"/>
      <c r="U165" s="60"/>
      <c r="V165" s="60" t="s">
        <v>11</v>
      </c>
      <c r="W165" s="61">
        <v>2020</v>
      </c>
      <c r="X165" s="61">
        <v>2021</v>
      </c>
      <c r="Y165" s="61">
        <v>2022</v>
      </c>
      <c r="Z165" s="61">
        <v>2023</v>
      </c>
      <c r="AA165" s="61">
        <v>2024</v>
      </c>
      <c r="AB165" s="61">
        <v>2025</v>
      </c>
      <c r="AC165" s="12"/>
      <c r="AD165" s="11"/>
      <c r="AE165" s="11"/>
      <c r="AF165" s="13"/>
      <c r="AG165" s="13"/>
      <c r="AH165" s="13"/>
      <c r="AI165" s="13"/>
      <c r="AJ165" s="13"/>
      <c r="AK165" s="13"/>
      <c r="AL165" s="12"/>
      <c r="AM165" s="13"/>
      <c r="AN165" s="13"/>
      <c r="AO165" s="13"/>
      <c r="AP165" s="13"/>
      <c r="AQ165" s="13"/>
      <c r="AR165" s="13"/>
      <c r="AS165" s="13"/>
      <c r="AT165" s="11"/>
      <c r="AU165" s="11"/>
      <c r="AV165" s="11"/>
      <c r="AW165" s="11"/>
      <c r="AX165" s="11"/>
      <c r="AY165" s="11"/>
      <c r="AZ165" s="11"/>
      <c r="BA165" s="11"/>
      <c r="BB165" s="11"/>
      <c r="BC165" s="11"/>
      <c r="BD165" s="14"/>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11"/>
      <c r="CG165" s="11"/>
      <c r="CH165" s="11"/>
    </row>
    <row r="166" spans="1:86">
      <c r="A166" s="11"/>
      <c r="B166" s="11"/>
      <c r="C166" s="16" t="s">
        <v>31</v>
      </c>
      <c r="D166" s="17" t="s">
        <v>32</v>
      </c>
      <c r="E166" s="18">
        <v>3858.9954238248151</v>
      </c>
      <c r="F166" s="18">
        <v>4599.3991476674037</v>
      </c>
      <c r="G166" s="18">
        <v>4289.8960685342017</v>
      </c>
      <c r="H166" s="18">
        <v>4063.5302717786003</v>
      </c>
      <c r="I166" s="18">
        <v>4349.8757974371192</v>
      </c>
      <c r="J166" s="18">
        <v>4405.2132190917409</v>
      </c>
      <c r="K166" s="11"/>
      <c r="L166" s="16" t="s">
        <v>31</v>
      </c>
      <c r="M166" s="17" t="s">
        <v>32</v>
      </c>
      <c r="N166" s="18">
        <v>2056.0323150749182</v>
      </c>
      <c r="O166" s="18">
        <v>3057.4768193823365</v>
      </c>
      <c r="P166" s="18">
        <v>2255.6085730213399</v>
      </c>
      <c r="Q166" s="18">
        <v>2351.9354110747272</v>
      </c>
      <c r="R166" s="18">
        <v>2276.6072084212524</v>
      </c>
      <c r="S166" s="18">
        <v>2138.1969326652124</v>
      </c>
      <c r="T166" s="11"/>
      <c r="U166" s="16" t="s">
        <v>31</v>
      </c>
      <c r="V166" s="17" t="s">
        <v>32</v>
      </c>
      <c r="W166" s="18">
        <f>E166+N166</f>
        <v>5915.0277388997329</v>
      </c>
      <c r="X166" s="18">
        <f t="shared" ref="X166:X173" si="87">F166+O166</f>
        <v>7656.8759670497402</v>
      </c>
      <c r="Y166" s="18">
        <f t="shared" ref="Y166:Y173" si="88">G166+P166</f>
        <v>6545.5046415555416</v>
      </c>
      <c r="Z166" s="18">
        <f t="shared" ref="Z166:Z173" si="89">H166+Q166</f>
        <v>6415.465682853328</v>
      </c>
      <c r="AA166" s="18">
        <f t="shared" ref="AA166:AA173" si="90">I166+R166</f>
        <v>6626.4830058583721</v>
      </c>
      <c r="AB166" s="18">
        <f t="shared" ref="AB166:AB173" si="91">J166+S166</f>
        <v>6543.4101517569534</v>
      </c>
      <c r="AC166" s="19"/>
      <c r="AD166" s="20"/>
      <c r="AE166" s="15"/>
      <c r="AF166" s="21"/>
      <c r="AG166" s="21"/>
      <c r="AH166" s="21"/>
      <c r="AI166" s="21"/>
      <c r="AJ166" s="21"/>
      <c r="AK166" s="21"/>
      <c r="AL166" s="19"/>
      <c r="AM166" s="21"/>
      <c r="AN166" s="21"/>
      <c r="AO166" s="21"/>
      <c r="AP166" s="21"/>
      <c r="AQ166" s="21"/>
      <c r="AR166" s="21"/>
      <c r="AS166" s="21"/>
      <c r="AT166" s="11"/>
      <c r="AU166" s="11"/>
      <c r="AV166" s="11"/>
      <c r="AW166" s="11"/>
      <c r="AX166" s="11"/>
      <c r="AY166" s="11"/>
      <c r="AZ166" s="11"/>
      <c r="BA166" s="11"/>
      <c r="BB166" s="11"/>
      <c r="BC166" s="11"/>
      <c r="BD166" s="14"/>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row>
    <row r="167" spans="1:86">
      <c r="C167" s="16" t="s">
        <v>33</v>
      </c>
      <c r="D167" s="17" t="s">
        <v>32</v>
      </c>
      <c r="E167" s="18">
        <v>4806.8023795461195</v>
      </c>
      <c r="F167" s="18">
        <v>5200.2362319697677</v>
      </c>
      <c r="G167" s="18">
        <v>4412.4377554892781</v>
      </c>
      <c r="H167" s="18">
        <v>4036.5468284489343</v>
      </c>
      <c r="I167" s="18">
        <v>3989.900728348026</v>
      </c>
      <c r="J167" s="18">
        <v>4087.664333173293</v>
      </c>
      <c r="L167" s="16" t="s">
        <v>33</v>
      </c>
      <c r="M167" s="17" t="s">
        <v>32</v>
      </c>
      <c r="N167" s="18">
        <v>7559.4964181424812</v>
      </c>
      <c r="O167" s="18">
        <v>7902.1253380551225</v>
      </c>
      <c r="P167" s="18">
        <v>6911.1449905715008</v>
      </c>
      <c r="Q167" s="18">
        <v>6353.95630762155</v>
      </c>
      <c r="R167" s="18">
        <v>6416.4388658778726</v>
      </c>
      <c r="S167" s="18">
        <v>6590.9077574620569</v>
      </c>
      <c r="U167" s="16" t="s">
        <v>33</v>
      </c>
      <c r="V167" s="17" t="s">
        <v>32</v>
      </c>
      <c r="W167" s="18">
        <f t="shared" ref="W167:W173" si="92">E167+N167</f>
        <v>12366.2987976886</v>
      </c>
      <c r="X167" s="18">
        <f t="shared" si="87"/>
        <v>13102.36157002489</v>
      </c>
      <c r="Y167" s="18">
        <f t="shared" si="88"/>
        <v>11323.58274606078</v>
      </c>
      <c r="Z167" s="18">
        <f t="shared" si="89"/>
        <v>10390.503136070485</v>
      </c>
      <c r="AA167" s="18">
        <f t="shared" si="90"/>
        <v>10406.339594225898</v>
      </c>
      <c r="AB167" s="18">
        <f t="shared" si="91"/>
        <v>10678.572090635349</v>
      </c>
      <c r="AC167" s="19"/>
      <c r="AD167" s="20"/>
      <c r="AE167" s="15"/>
      <c r="AF167" s="21"/>
      <c r="AG167" s="21"/>
      <c r="AH167" s="21"/>
      <c r="AI167" s="21"/>
      <c r="AJ167" s="21"/>
      <c r="AK167" s="21"/>
      <c r="AL167" s="19"/>
      <c r="AM167" s="21"/>
      <c r="AN167" s="21"/>
      <c r="AO167" s="21"/>
      <c r="AP167" s="21"/>
      <c r="AQ167" s="21"/>
      <c r="AR167" s="21"/>
      <c r="AS167" s="21"/>
    </row>
    <row r="168" spans="1:86">
      <c r="C168" s="16" t="s">
        <v>34</v>
      </c>
      <c r="D168" s="17" t="s">
        <v>32</v>
      </c>
      <c r="E168" s="18">
        <v>6225.3765829543181</v>
      </c>
      <c r="F168" s="18">
        <v>7045.5180962517234</v>
      </c>
      <c r="G168" s="18">
        <v>7125.5660418751941</v>
      </c>
      <c r="H168" s="18">
        <v>8135.0993235524065</v>
      </c>
      <c r="I168" s="18">
        <v>8841.8899127982295</v>
      </c>
      <c r="J168" s="18">
        <v>9662.9283714157664</v>
      </c>
      <c r="L168" s="16" t="s">
        <v>34</v>
      </c>
      <c r="M168" s="17" t="s">
        <v>32</v>
      </c>
      <c r="N168" s="18">
        <v>1345.0083323607801</v>
      </c>
      <c r="O168" s="18">
        <v>1900.745948153748</v>
      </c>
      <c r="P168" s="18">
        <v>1371.1002731790886</v>
      </c>
      <c r="Q168" s="18">
        <v>1394.2963765968075</v>
      </c>
      <c r="R168" s="18">
        <v>1307.3865924407057</v>
      </c>
      <c r="S168" s="18">
        <v>1341.4933056877144</v>
      </c>
      <c r="U168" s="16" t="s">
        <v>34</v>
      </c>
      <c r="V168" s="17" t="s">
        <v>32</v>
      </c>
      <c r="W168" s="18">
        <f t="shared" si="92"/>
        <v>7570.3849153150986</v>
      </c>
      <c r="X168" s="18">
        <f t="shared" si="87"/>
        <v>8946.2640444054705</v>
      </c>
      <c r="Y168" s="18">
        <f t="shared" si="88"/>
        <v>8496.6663150542827</v>
      </c>
      <c r="Z168" s="18">
        <f t="shared" si="89"/>
        <v>9529.3957001492145</v>
      </c>
      <c r="AA168" s="18">
        <f t="shared" si="90"/>
        <v>10149.276505238935</v>
      </c>
      <c r="AB168" s="18">
        <f t="shared" si="91"/>
        <v>11004.421677103481</v>
      </c>
      <c r="AC168" s="19"/>
      <c r="AD168" s="20"/>
      <c r="AE168" s="15"/>
      <c r="AF168" s="21"/>
      <c r="AG168" s="21"/>
      <c r="AH168" s="21"/>
      <c r="AI168" s="21"/>
      <c r="AJ168" s="21"/>
      <c r="AK168" s="21"/>
      <c r="AL168" s="19"/>
      <c r="AM168" s="21"/>
      <c r="AN168" s="21"/>
      <c r="AO168" s="21"/>
      <c r="AP168" s="21"/>
      <c r="AQ168" s="21"/>
      <c r="AR168" s="21"/>
      <c r="AS168" s="21"/>
    </row>
    <row r="169" spans="1:86">
      <c r="C169" s="16" t="s">
        <v>35</v>
      </c>
      <c r="D169" s="17" t="s">
        <v>32</v>
      </c>
      <c r="E169" s="18">
        <v>5945.1375899522118</v>
      </c>
      <c r="F169" s="18">
        <v>7177.1654753464445</v>
      </c>
      <c r="G169" s="18">
        <v>6929.5848312122907</v>
      </c>
      <c r="H169" s="18">
        <v>7418.271295387216</v>
      </c>
      <c r="I169" s="18">
        <v>7266.4158956769097</v>
      </c>
      <c r="J169" s="18">
        <v>6942.3349475691448</v>
      </c>
      <c r="L169" s="16" t="s">
        <v>35</v>
      </c>
      <c r="M169" s="17" t="s">
        <v>32</v>
      </c>
      <c r="N169" s="18">
        <v>7477.2224521328199</v>
      </c>
      <c r="O169" s="18">
        <v>8757.6990180049233</v>
      </c>
      <c r="P169" s="18">
        <v>8308.3624745431443</v>
      </c>
      <c r="Q169" s="18">
        <v>8306.5911946975375</v>
      </c>
      <c r="R169" s="18">
        <v>7868.5427139124158</v>
      </c>
      <c r="S169" s="18">
        <v>7134.2583406568019</v>
      </c>
      <c r="U169" s="16" t="s">
        <v>35</v>
      </c>
      <c r="V169" s="17" t="s">
        <v>32</v>
      </c>
      <c r="W169" s="18">
        <f t="shared" si="92"/>
        <v>13422.360042085031</v>
      </c>
      <c r="X169" s="18">
        <f t="shared" si="87"/>
        <v>15934.864493351368</v>
      </c>
      <c r="Y169" s="18">
        <f t="shared" si="88"/>
        <v>15237.947305755435</v>
      </c>
      <c r="Z169" s="18">
        <f t="shared" si="89"/>
        <v>15724.862490084754</v>
      </c>
      <c r="AA169" s="18">
        <f t="shared" si="90"/>
        <v>15134.958609589325</v>
      </c>
      <c r="AB169" s="18">
        <f t="shared" si="91"/>
        <v>14076.593288225948</v>
      </c>
      <c r="AC169" s="19"/>
      <c r="AD169" s="20"/>
      <c r="AE169" s="15"/>
      <c r="AF169" s="21"/>
      <c r="AG169" s="21"/>
      <c r="AH169" s="21"/>
      <c r="AI169" s="21"/>
      <c r="AJ169" s="21"/>
      <c r="AK169" s="21"/>
      <c r="AL169" s="19"/>
      <c r="AM169" s="21"/>
      <c r="AN169" s="21"/>
      <c r="AO169" s="21"/>
      <c r="AP169" s="21"/>
      <c r="AQ169" s="21"/>
      <c r="AR169" s="21"/>
      <c r="AS169" s="21"/>
    </row>
    <row r="170" spans="1:86">
      <c r="C170" s="16" t="s">
        <v>36</v>
      </c>
      <c r="D170" s="17" t="s">
        <v>32</v>
      </c>
      <c r="E170" s="18">
        <v>1336.3622471846732</v>
      </c>
      <c r="F170" s="18">
        <v>1391.9264841069523</v>
      </c>
      <c r="G170" s="18">
        <v>1422.1451642260988</v>
      </c>
      <c r="H170" s="18">
        <v>1520.5067408623279</v>
      </c>
      <c r="I170" s="18">
        <v>1596.0282777308723</v>
      </c>
      <c r="J170" s="18">
        <v>1839.9422813488429</v>
      </c>
      <c r="L170" s="16" t="s">
        <v>36</v>
      </c>
      <c r="M170" s="17" t="s">
        <v>32</v>
      </c>
      <c r="N170" s="18">
        <v>655.5033820477106</v>
      </c>
      <c r="O170" s="18">
        <v>668.75151245296865</v>
      </c>
      <c r="P170" s="18">
        <v>585.68324446355018</v>
      </c>
      <c r="Q170" s="18">
        <v>497.0250404426157</v>
      </c>
      <c r="R170" s="18">
        <v>460.84057030687046</v>
      </c>
      <c r="S170" s="18">
        <v>424.32647786288754</v>
      </c>
      <c r="U170" s="16" t="s">
        <v>36</v>
      </c>
      <c r="V170" s="17" t="s">
        <v>32</v>
      </c>
      <c r="W170" s="18">
        <f t="shared" si="92"/>
        <v>1991.8656292323838</v>
      </c>
      <c r="X170" s="18">
        <f t="shared" si="87"/>
        <v>2060.6779965599208</v>
      </c>
      <c r="Y170" s="18">
        <f t="shared" si="88"/>
        <v>2007.828408689649</v>
      </c>
      <c r="Z170" s="18">
        <f t="shared" si="89"/>
        <v>2017.5317813049437</v>
      </c>
      <c r="AA170" s="18">
        <f t="shared" si="90"/>
        <v>2056.8688480377427</v>
      </c>
      <c r="AB170" s="18">
        <f t="shared" si="91"/>
        <v>2264.2687592117304</v>
      </c>
      <c r="AC170" s="19"/>
      <c r="AD170" s="20"/>
      <c r="AE170" s="15"/>
      <c r="AF170" s="21"/>
      <c r="AG170" s="21"/>
      <c r="AH170" s="21"/>
      <c r="AI170" s="21"/>
      <c r="AJ170" s="21"/>
      <c r="AK170" s="21"/>
      <c r="AL170" s="19"/>
      <c r="AM170" s="21"/>
      <c r="AN170" s="21"/>
      <c r="AO170" s="21"/>
      <c r="AP170" s="21"/>
      <c r="AQ170" s="21"/>
      <c r="AR170" s="21"/>
      <c r="AS170" s="21"/>
    </row>
    <row r="171" spans="1:86">
      <c r="C171" s="16" t="s">
        <v>37</v>
      </c>
      <c r="D171" s="17" t="s">
        <v>32</v>
      </c>
      <c r="E171" s="18">
        <v>2611.5407233931246</v>
      </c>
      <c r="F171" s="18">
        <v>2620.506257551192</v>
      </c>
      <c r="G171" s="18">
        <v>1552.6504881014923</v>
      </c>
      <c r="H171" s="18">
        <v>1506.4253773876687</v>
      </c>
      <c r="I171" s="18">
        <v>1821.7740048836674</v>
      </c>
      <c r="J171" s="18">
        <v>1951.3039026070319</v>
      </c>
      <c r="L171" s="16" t="s">
        <v>37</v>
      </c>
      <c r="M171" s="17" t="s">
        <v>32</v>
      </c>
      <c r="N171" s="18">
        <v>3419.4817801567938</v>
      </c>
      <c r="O171" s="18">
        <v>2924.8305754201756</v>
      </c>
      <c r="P171" s="18">
        <v>1311.6142742019765</v>
      </c>
      <c r="Q171" s="18">
        <v>1790.1302928797531</v>
      </c>
      <c r="R171" s="18">
        <v>2548.9267191389954</v>
      </c>
      <c r="S171" s="18">
        <v>2873.4895671183417</v>
      </c>
      <c r="U171" s="16" t="s">
        <v>37</v>
      </c>
      <c r="V171" s="17" t="s">
        <v>32</v>
      </c>
      <c r="W171" s="18">
        <f t="shared" si="92"/>
        <v>6031.0225035499188</v>
      </c>
      <c r="X171" s="18">
        <f t="shared" si="87"/>
        <v>5545.3368329713676</v>
      </c>
      <c r="Y171" s="18">
        <f t="shared" si="88"/>
        <v>2864.2647623034691</v>
      </c>
      <c r="Z171" s="18">
        <f t="shared" si="89"/>
        <v>3296.5556702674221</v>
      </c>
      <c r="AA171" s="18">
        <f t="shared" si="90"/>
        <v>4370.7007240226631</v>
      </c>
      <c r="AB171" s="18">
        <f t="shared" si="91"/>
        <v>4824.7934697253731</v>
      </c>
      <c r="AC171" s="19"/>
      <c r="AD171" s="20"/>
      <c r="AE171" s="15"/>
      <c r="AF171" s="21"/>
      <c r="AG171" s="21"/>
      <c r="AH171" s="21"/>
      <c r="AI171" s="21"/>
      <c r="AJ171" s="21"/>
      <c r="AK171" s="21"/>
      <c r="AL171" s="19"/>
      <c r="AM171" s="21"/>
      <c r="AN171" s="21"/>
      <c r="AO171" s="21"/>
      <c r="AP171" s="21"/>
      <c r="AQ171" s="21"/>
      <c r="AR171" s="21"/>
      <c r="AS171" s="21"/>
    </row>
    <row r="172" spans="1:86">
      <c r="C172" s="16" t="s">
        <v>38</v>
      </c>
      <c r="D172" s="17" t="s">
        <v>32</v>
      </c>
      <c r="E172" s="18">
        <v>11169.059655560628</v>
      </c>
      <c r="F172" s="18">
        <v>12048.123598831808</v>
      </c>
      <c r="G172" s="18">
        <v>12287.232531004345</v>
      </c>
      <c r="H172" s="18">
        <v>11860.187362003468</v>
      </c>
      <c r="I172" s="18">
        <v>11817.292526803181</v>
      </c>
      <c r="J172" s="18">
        <v>12598.830594246007</v>
      </c>
      <c r="L172" s="16" t="s">
        <v>38</v>
      </c>
      <c r="M172" s="17" t="s">
        <v>32</v>
      </c>
      <c r="N172" s="18">
        <v>1012.0504255960068</v>
      </c>
      <c r="O172" s="18">
        <v>1140.8342040096029</v>
      </c>
      <c r="P172" s="18">
        <v>1168.5419004185333</v>
      </c>
      <c r="Q172" s="18">
        <v>1255.8119332534975</v>
      </c>
      <c r="R172" s="18">
        <v>1228.7085192641832</v>
      </c>
      <c r="S172" s="18">
        <v>1286.6566431984579</v>
      </c>
      <c r="U172" s="16" t="s">
        <v>38</v>
      </c>
      <c r="V172" s="17" t="s">
        <v>32</v>
      </c>
      <c r="W172" s="18">
        <f t="shared" si="92"/>
        <v>12181.110081156636</v>
      </c>
      <c r="X172" s="18">
        <f t="shared" si="87"/>
        <v>13188.957802841411</v>
      </c>
      <c r="Y172" s="18">
        <f t="shared" si="88"/>
        <v>13455.774431422878</v>
      </c>
      <c r="Z172" s="18">
        <f t="shared" si="89"/>
        <v>13115.999295256965</v>
      </c>
      <c r="AA172" s="18">
        <f t="shared" si="90"/>
        <v>13046.001046067364</v>
      </c>
      <c r="AB172" s="18">
        <f t="shared" si="91"/>
        <v>13885.487237444464</v>
      </c>
      <c r="AC172" s="19"/>
      <c r="AD172" s="20"/>
      <c r="AE172" s="15"/>
      <c r="AF172" s="21"/>
      <c r="AG172" s="21"/>
      <c r="AH172" s="21"/>
      <c r="AI172" s="21"/>
      <c r="AJ172" s="21"/>
      <c r="AK172" s="21"/>
      <c r="AL172" s="19"/>
      <c r="AM172" s="21"/>
      <c r="AN172" s="21"/>
      <c r="AO172" s="21"/>
      <c r="AP172" s="21"/>
      <c r="AQ172" s="21"/>
      <c r="AR172" s="21"/>
      <c r="AS172" s="21"/>
    </row>
    <row r="173" spans="1:86">
      <c r="C173" s="16" t="s">
        <v>39</v>
      </c>
      <c r="D173" s="17" t="s">
        <v>32</v>
      </c>
      <c r="E173" s="18">
        <v>2640.1942568929476</v>
      </c>
      <c r="F173" s="18">
        <v>2831.0987565305677</v>
      </c>
      <c r="G173" s="18">
        <v>3352.0350950755032</v>
      </c>
      <c r="H173" s="18">
        <v>3811.4476618772742</v>
      </c>
      <c r="I173" s="18">
        <v>4118.0039698450846</v>
      </c>
      <c r="J173" s="18">
        <v>3827.5317633963136</v>
      </c>
      <c r="L173" s="16" t="s">
        <v>39</v>
      </c>
      <c r="M173" s="17" t="s">
        <v>32</v>
      </c>
      <c r="N173" s="18">
        <v>1312.461086012624</v>
      </c>
      <c r="O173" s="18">
        <v>1407.4437031977625</v>
      </c>
      <c r="P173" s="18">
        <v>1635.5537773045378</v>
      </c>
      <c r="Q173" s="18">
        <v>1790.2583342260032</v>
      </c>
      <c r="R173" s="18">
        <v>1924.4679243668925</v>
      </c>
      <c r="S173" s="18">
        <v>1814.588259344034</v>
      </c>
      <c r="U173" s="16" t="s">
        <v>39</v>
      </c>
      <c r="V173" s="17" t="s">
        <v>32</v>
      </c>
      <c r="W173" s="18">
        <f t="shared" si="92"/>
        <v>3952.6553429055716</v>
      </c>
      <c r="X173" s="18">
        <f t="shared" si="87"/>
        <v>4238.54245972833</v>
      </c>
      <c r="Y173" s="18">
        <f t="shared" si="88"/>
        <v>4987.5888723800408</v>
      </c>
      <c r="Z173" s="18">
        <f t="shared" si="89"/>
        <v>5601.7059961032774</v>
      </c>
      <c r="AA173" s="18">
        <f t="shared" si="90"/>
        <v>6042.4718942119771</v>
      </c>
      <c r="AB173" s="18">
        <f t="shared" si="91"/>
        <v>5642.1200227403478</v>
      </c>
      <c r="AC173" s="19"/>
      <c r="AD173" s="20"/>
      <c r="AE173" s="15"/>
      <c r="AF173" s="21"/>
      <c r="AG173" s="21"/>
      <c r="AH173" s="21"/>
      <c r="AI173" s="21"/>
      <c r="AJ173" s="21"/>
      <c r="AK173" s="21"/>
      <c r="AL173" s="19"/>
      <c r="AM173" s="21"/>
      <c r="AN173" s="21"/>
      <c r="AO173" s="21"/>
      <c r="AP173" s="21"/>
      <c r="AQ173" s="21"/>
      <c r="AR173" s="21"/>
      <c r="AS173" s="21"/>
    </row>
    <row r="174" spans="1:86">
      <c r="A174" s="22"/>
      <c r="C174" s="23" t="s">
        <v>40</v>
      </c>
      <c r="D174" s="17" t="s">
        <v>32</v>
      </c>
      <c r="E174" s="24">
        <v>38593.468859308836</v>
      </c>
      <c r="F174" s="24">
        <v>42913.974048255863</v>
      </c>
      <c r="G174" s="24">
        <v>41371.547975518399</v>
      </c>
      <c r="H174" s="24">
        <v>42352.014861297896</v>
      </c>
      <c r="I174" s="24">
        <v>43801.181113523089</v>
      </c>
      <c r="J174" s="24">
        <v>45315.749412848141</v>
      </c>
      <c r="L174" s="23" t="s">
        <v>40</v>
      </c>
      <c r="M174" s="17" t="s">
        <v>32</v>
      </c>
      <c r="N174" s="24">
        <v>24837.256191524135</v>
      </c>
      <c r="O174" s="24">
        <v>27759.907118676638</v>
      </c>
      <c r="P174" s="24">
        <v>23547.609507703673</v>
      </c>
      <c r="Q174" s="24">
        <v>23740.00489079249</v>
      </c>
      <c r="R174" s="24">
        <v>24031.919113729185</v>
      </c>
      <c r="S174" s="24">
        <v>23603.917283995503</v>
      </c>
      <c r="U174" s="23" t="s">
        <v>40</v>
      </c>
      <c r="V174" s="17" t="s">
        <v>32</v>
      </c>
      <c r="W174" s="24">
        <f>SUM(W166:W173)</f>
        <v>63430.725050832974</v>
      </c>
      <c r="X174" s="24">
        <f t="shared" ref="X174:AB174" si="93">SUM(X166:X173)</f>
        <v>70673.881166932508</v>
      </c>
      <c r="Y174" s="24">
        <f t="shared" si="93"/>
        <v>64919.157483222072</v>
      </c>
      <c r="Z174" s="24">
        <f t="shared" si="93"/>
        <v>66092.019752090389</v>
      </c>
      <c r="AA174" s="24">
        <f t="shared" si="93"/>
        <v>67833.100227252289</v>
      </c>
      <c r="AB174" s="24">
        <f t="shared" si="93"/>
        <v>68919.666696843648</v>
      </c>
      <c r="AC174" s="25"/>
      <c r="AD174" s="26"/>
      <c r="AE174" s="15"/>
      <c r="AF174" s="27"/>
      <c r="AG174" s="27"/>
      <c r="AH174" s="27"/>
      <c r="AI174" s="27"/>
      <c r="AJ174" s="27"/>
      <c r="AK174" s="27"/>
      <c r="AL174" s="25"/>
      <c r="AM174" s="27"/>
      <c r="AN174" s="27"/>
      <c r="AO174" s="27"/>
      <c r="AP174" s="27"/>
      <c r="AQ174" s="27"/>
      <c r="AR174" s="27"/>
      <c r="AS174" s="27"/>
    </row>
    <row r="176" spans="1:86" ht="14.7" thickBot="1">
      <c r="C176" s="9" t="s">
        <v>20</v>
      </c>
      <c r="D176" s="9"/>
      <c r="E176" s="9"/>
      <c r="F176" s="9"/>
      <c r="G176" s="9"/>
      <c r="H176" s="9"/>
      <c r="I176" s="9"/>
      <c r="J176" s="9"/>
      <c r="L176" s="9" t="s">
        <v>20</v>
      </c>
      <c r="M176" s="9"/>
      <c r="N176" s="9"/>
      <c r="O176" s="9"/>
      <c r="P176" s="9"/>
      <c r="Q176" s="9"/>
      <c r="R176" s="9"/>
      <c r="S176" s="9"/>
      <c r="U176" s="9" t="str">
        <f>L176</f>
        <v>Steel</v>
      </c>
      <c r="V176" s="9"/>
      <c r="W176" s="9"/>
      <c r="X176" s="9"/>
      <c r="Y176" s="9"/>
      <c r="Z176" s="9"/>
      <c r="AA176" s="9"/>
      <c r="AB176" s="9"/>
      <c r="AC176" s="8"/>
      <c r="AD176" s="10"/>
      <c r="AE176" s="10"/>
      <c r="AF176" s="10"/>
      <c r="AG176" s="10"/>
      <c r="AH176" s="10"/>
      <c r="AI176" s="10"/>
      <c r="AJ176" s="10"/>
      <c r="AK176" s="10"/>
      <c r="AL176" s="8"/>
      <c r="AM176" s="10"/>
      <c r="AN176" s="10"/>
      <c r="AO176" s="10"/>
      <c r="AP176" s="10"/>
      <c r="AQ176" s="10"/>
      <c r="AR176" s="10"/>
      <c r="AS176" s="10"/>
    </row>
    <row r="177" spans="1:86" s="15" customFormat="1">
      <c r="A177" s="11"/>
      <c r="B177" s="11"/>
      <c r="C177" s="60"/>
      <c r="D177" s="60" t="s">
        <v>11</v>
      </c>
      <c r="E177" s="61">
        <v>2020</v>
      </c>
      <c r="F177" s="61">
        <v>2021</v>
      </c>
      <c r="G177" s="61">
        <v>2022</v>
      </c>
      <c r="H177" s="61">
        <v>2023</v>
      </c>
      <c r="I177" s="61">
        <v>2024</v>
      </c>
      <c r="J177" s="61">
        <v>2025</v>
      </c>
      <c r="K177" s="11"/>
      <c r="L177" s="60"/>
      <c r="M177" s="60" t="s">
        <v>11</v>
      </c>
      <c r="N177" s="61">
        <v>2020</v>
      </c>
      <c r="O177" s="61">
        <v>2021</v>
      </c>
      <c r="P177" s="61">
        <v>2022</v>
      </c>
      <c r="Q177" s="61">
        <v>2023</v>
      </c>
      <c r="R177" s="61">
        <v>2024</v>
      </c>
      <c r="S177" s="61">
        <v>2025</v>
      </c>
      <c r="T177" s="11"/>
      <c r="U177" s="60"/>
      <c r="V177" s="60" t="s">
        <v>11</v>
      </c>
      <c r="W177" s="61">
        <v>2020</v>
      </c>
      <c r="X177" s="61">
        <v>2021</v>
      </c>
      <c r="Y177" s="61">
        <v>2022</v>
      </c>
      <c r="Z177" s="61">
        <v>2023</v>
      </c>
      <c r="AA177" s="61">
        <v>2024</v>
      </c>
      <c r="AB177" s="61">
        <v>2025</v>
      </c>
      <c r="AC177" s="12"/>
      <c r="AD177" s="11"/>
      <c r="AE177" s="11"/>
      <c r="AF177" s="13"/>
      <c r="AG177" s="13"/>
      <c r="AH177" s="13"/>
      <c r="AI177" s="13"/>
      <c r="AJ177" s="13"/>
      <c r="AK177" s="13"/>
      <c r="AL177" s="12"/>
      <c r="AM177" s="13"/>
      <c r="AN177" s="13"/>
      <c r="AO177" s="13"/>
      <c r="AP177" s="13"/>
      <c r="AQ177" s="13"/>
      <c r="AR177" s="13"/>
      <c r="AS177" s="13"/>
      <c r="AT177" s="11"/>
      <c r="AU177" s="11"/>
      <c r="AV177" s="11"/>
      <c r="AW177" s="11"/>
      <c r="AX177" s="11"/>
      <c r="AY177" s="11"/>
      <c r="AZ177" s="11"/>
      <c r="BA177" s="11"/>
      <c r="BB177" s="11"/>
      <c r="BC177" s="11"/>
      <c r="BD177" s="14"/>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1"/>
      <c r="CF177" s="11"/>
      <c r="CG177" s="11"/>
      <c r="CH177" s="11"/>
    </row>
    <row r="178" spans="1:86">
      <c r="A178" s="11"/>
      <c r="B178" s="11"/>
      <c r="C178" s="16" t="s">
        <v>31</v>
      </c>
      <c r="D178" s="17" t="s">
        <v>32</v>
      </c>
      <c r="E178" s="18">
        <v>74012.475953367073</v>
      </c>
      <c r="F178" s="18">
        <v>82127.414914518391</v>
      </c>
      <c r="G178" s="18">
        <v>77624.27167765249</v>
      </c>
      <c r="H178" s="18">
        <v>77563.987932565797</v>
      </c>
      <c r="I178" s="18">
        <v>70558.816223182235</v>
      </c>
      <c r="J178" s="18">
        <v>73821.794494400165</v>
      </c>
      <c r="K178" s="11"/>
      <c r="L178" s="16" t="s">
        <v>31</v>
      </c>
      <c r="M178" s="17" t="s">
        <v>32</v>
      </c>
      <c r="N178" s="18">
        <v>11829.526512323782</v>
      </c>
      <c r="O178" s="18">
        <v>15245.156126809581</v>
      </c>
      <c r="P178" s="18">
        <v>12922.260631872983</v>
      </c>
      <c r="Q178" s="18">
        <v>12681.050599126231</v>
      </c>
      <c r="R178" s="18">
        <v>11786.5928721826</v>
      </c>
      <c r="S178" s="18">
        <v>11905.412898268154</v>
      </c>
      <c r="T178" s="11"/>
      <c r="U178" s="16" t="s">
        <v>31</v>
      </c>
      <c r="V178" s="17" t="s">
        <v>32</v>
      </c>
      <c r="W178" s="18">
        <f>E178+N178</f>
        <v>85842.00246569085</v>
      </c>
      <c r="X178" s="18">
        <f t="shared" ref="X178:X185" si="94">F178+O178</f>
        <v>97372.571041327974</v>
      </c>
      <c r="Y178" s="18">
        <f t="shared" ref="Y178:Y185" si="95">G178+P178</f>
        <v>90546.532309525472</v>
      </c>
      <c r="Z178" s="18">
        <f t="shared" ref="Z178:Z185" si="96">H178+Q178</f>
        <v>90245.038531692029</v>
      </c>
      <c r="AA178" s="18">
        <f t="shared" ref="AA178:AA185" si="97">I178+R178</f>
        <v>82345.409095364841</v>
      </c>
      <c r="AB178" s="18">
        <f t="shared" ref="AB178:AB185" si="98">J178+S178</f>
        <v>85727.207392668322</v>
      </c>
      <c r="AC178" s="19"/>
      <c r="AD178" s="20"/>
      <c r="AE178" s="15"/>
      <c r="AF178" s="21"/>
      <c r="AG178" s="21"/>
      <c r="AH178" s="21"/>
      <c r="AI178" s="21"/>
      <c r="AJ178" s="21"/>
      <c r="AK178" s="21"/>
      <c r="AL178" s="19"/>
      <c r="AM178" s="21"/>
      <c r="AN178" s="21"/>
      <c r="AO178" s="21"/>
      <c r="AP178" s="21"/>
      <c r="AQ178" s="21"/>
      <c r="AR178" s="21"/>
      <c r="AS178" s="21"/>
      <c r="AT178" s="11"/>
      <c r="AU178" s="11"/>
      <c r="AV178" s="11"/>
      <c r="AW178" s="11"/>
      <c r="AX178" s="11"/>
      <c r="AY178" s="11"/>
      <c r="AZ178" s="11"/>
      <c r="BA178" s="11"/>
      <c r="BB178" s="11"/>
      <c r="BC178" s="11"/>
      <c r="BD178" s="14"/>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row>
    <row r="179" spans="1:86">
      <c r="C179" s="16" t="s">
        <v>33</v>
      </c>
      <c r="D179" s="17" t="s">
        <v>32</v>
      </c>
      <c r="E179" s="18">
        <v>129518.50235454617</v>
      </c>
      <c r="F179" s="18">
        <v>136046.75850325986</v>
      </c>
      <c r="G179" s="18">
        <v>127099.26192693032</v>
      </c>
      <c r="H179" s="18">
        <v>137000.9207947122</v>
      </c>
      <c r="I179" s="18">
        <v>128120.69460528434</v>
      </c>
      <c r="J179" s="18">
        <v>125026.08949439092</v>
      </c>
      <c r="L179" s="16" t="s">
        <v>33</v>
      </c>
      <c r="M179" s="17" t="s">
        <v>32</v>
      </c>
      <c r="N179" s="18">
        <v>6911.1674813676009</v>
      </c>
      <c r="O179" s="18">
        <v>7149.3191416147038</v>
      </c>
      <c r="P179" s="18">
        <v>6760.0054345789704</v>
      </c>
      <c r="Q179" s="18">
        <v>6970.4814271369651</v>
      </c>
      <c r="R179" s="18">
        <v>6518.6891687931247</v>
      </c>
      <c r="S179" s="18">
        <v>6360.3411799414062</v>
      </c>
      <c r="U179" s="16" t="s">
        <v>33</v>
      </c>
      <c r="V179" s="17" t="s">
        <v>32</v>
      </c>
      <c r="W179" s="18">
        <f t="shared" ref="W179:W185" si="99">E179+N179</f>
        <v>136429.66983591378</v>
      </c>
      <c r="X179" s="18">
        <f t="shared" si="94"/>
        <v>143196.07764487457</v>
      </c>
      <c r="Y179" s="18">
        <f t="shared" si="95"/>
        <v>133859.26736150929</v>
      </c>
      <c r="Z179" s="18">
        <f t="shared" si="96"/>
        <v>143971.40222184916</v>
      </c>
      <c r="AA179" s="18">
        <f t="shared" si="97"/>
        <v>134639.38377407746</v>
      </c>
      <c r="AB179" s="18">
        <f t="shared" si="98"/>
        <v>131386.43067433234</v>
      </c>
      <c r="AC179" s="19"/>
      <c r="AD179" s="20"/>
      <c r="AE179" s="15"/>
      <c r="AF179" s="21"/>
      <c r="AG179" s="21"/>
      <c r="AH179" s="21"/>
      <c r="AI179" s="21"/>
      <c r="AJ179" s="21"/>
      <c r="AK179" s="21"/>
      <c r="AL179" s="19"/>
      <c r="AM179" s="21"/>
      <c r="AN179" s="21"/>
      <c r="AO179" s="21"/>
      <c r="AP179" s="21"/>
      <c r="AQ179" s="21"/>
      <c r="AR179" s="21"/>
      <c r="AS179" s="21"/>
    </row>
    <row r="180" spans="1:86">
      <c r="C180" s="16" t="s">
        <v>34</v>
      </c>
      <c r="D180" s="17" t="s">
        <v>32</v>
      </c>
      <c r="E180" s="18">
        <v>73932.162013043097</v>
      </c>
      <c r="F180" s="18">
        <v>85532.600011260147</v>
      </c>
      <c r="G180" s="18">
        <v>83047.266966601281</v>
      </c>
      <c r="H180" s="18">
        <v>79350.639759762809</v>
      </c>
      <c r="I180" s="18">
        <v>78380.762560183037</v>
      </c>
      <c r="J180" s="18">
        <v>80467.248413390276</v>
      </c>
      <c r="L180" s="16" t="s">
        <v>34</v>
      </c>
      <c r="M180" s="17" t="s">
        <v>32</v>
      </c>
      <c r="N180" s="18">
        <v>286.76930344177981</v>
      </c>
      <c r="O180" s="18">
        <v>387.32172544754548</v>
      </c>
      <c r="P180" s="18">
        <v>257.36930978816906</v>
      </c>
      <c r="Q180" s="18">
        <v>218.84211275696165</v>
      </c>
      <c r="R180" s="18">
        <v>141.10652757716716</v>
      </c>
      <c r="S180" s="18">
        <v>98.856669670131595</v>
      </c>
      <c r="U180" s="16" t="s">
        <v>34</v>
      </c>
      <c r="V180" s="17" t="s">
        <v>32</v>
      </c>
      <c r="W180" s="18">
        <f t="shared" si="99"/>
        <v>74218.931316484872</v>
      </c>
      <c r="X180" s="18">
        <f t="shared" si="94"/>
        <v>85919.921736707693</v>
      </c>
      <c r="Y180" s="18">
        <f t="shared" si="95"/>
        <v>83304.636276389443</v>
      </c>
      <c r="Z180" s="18">
        <f t="shared" si="96"/>
        <v>79569.481872519769</v>
      </c>
      <c r="AA180" s="18">
        <f t="shared" si="97"/>
        <v>78521.869087760206</v>
      </c>
      <c r="AB180" s="18">
        <f t="shared" si="98"/>
        <v>80566.105083060407</v>
      </c>
      <c r="AC180" s="19"/>
      <c r="AD180" s="20"/>
      <c r="AE180" s="15"/>
      <c r="AF180" s="21"/>
      <c r="AG180" s="21"/>
      <c r="AH180" s="21"/>
      <c r="AI180" s="21"/>
      <c r="AJ180" s="21"/>
      <c r="AK180" s="21"/>
      <c r="AL180" s="19"/>
      <c r="AM180" s="21"/>
      <c r="AN180" s="21"/>
      <c r="AO180" s="21"/>
      <c r="AP180" s="21"/>
      <c r="AQ180" s="21"/>
      <c r="AR180" s="21"/>
      <c r="AS180" s="21"/>
    </row>
    <row r="181" spans="1:86">
      <c r="C181" s="16" t="s">
        <v>35</v>
      </c>
      <c r="D181" s="17" t="s">
        <v>32</v>
      </c>
      <c r="E181" s="18">
        <v>2551128.2589843846</v>
      </c>
      <c r="F181" s="18">
        <v>2549162.3698110362</v>
      </c>
      <c r="G181" s="18">
        <v>2548613.0031622853</v>
      </c>
      <c r="H181" s="18">
        <v>2589160.2636829112</v>
      </c>
      <c r="I181" s="18">
        <v>2567534.1683755275</v>
      </c>
      <c r="J181" s="18">
        <v>2510579.640439054</v>
      </c>
      <c r="L181" s="16" t="s">
        <v>35</v>
      </c>
      <c r="M181" s="17" t="s">
        <v>32</v>
      </c>
      <c r="N181" s="18">
        <v>57651.496902902392</v>
      </c>
      <c r="O181" s="18">
        <v>47695.046446769622</v>
      </c>
      <c r="P181" s="18">
        <v>43020.420298984209</v>
      </c>
      <c r="Q181" s="18">
        <v>40456.002205146295</v>
      </c>
      <c r="R181" s="18">
        <v>38338.301135771806</v>
      </c>
      <c r="S181" s="18">
        <v>35489.207038147411</v>
      </c>
      <c r="U181" s="16" t="s">
        <v>35</v>
      </c>
      <c r="V181" s="17" t="s">
        <v>32</v>
      </c>
      <c r="W181" s="18">
        <f t="shared" si="99"/>
        <v>2608779.7558872872</v>
      </c>
      <c r="X181" s="18">
        <f t="shared" si="94"/>
        <v>2596857.4162578057</v>
      </c>
      <c r="Y181" s="18">
        <f t="shared" si="95"/>
        <v>2591633.4234612696</v>
      </c>
      <c r="Z181" s="18">
        <f t="shared" si="96"/>
        <v>2629616.2658880576</v>
      </c>
      <c r="AA181" s="18">
        <f t="shared" si="97"/>
        <v>2605872.4695112994</v>
      </c>
      <c r="AB181" s="18">
        <f t="shared" si="98"/>
        <v>2546068.8474772014</v>
      </c>
      <c r="AC181" s="19"/>
      <c r="AD181" s="20"/>
      <c r="AE181" s="15"/>
      <c r="AF181" s="21"/>
      <c r="AG181" s="21"/>
      <c r="AH181" s="21"/>
      <c r="AI181" s="21"/>
      <c r="AJ181" s="21"/>
      <c r="AK181" s="21"/>
      <c r="AL181" s="19"/>
      <c r="AM181" s="21"/>
      <c r="AN181" s="21"/>
      <c r="AO181" s="21"/>
      <c r="AP181" s="21"/>
      <c r="AQ181" s="21"/>
      <c r="AR181" s="21"/>
      <c r="AS181" s="21"/>
    </row>
    <row r="182" spans="1:86">
      <c r="C182" s="16" t="s">
        <v>36</v>
      </c>
      <c r="D182" s="17" t="s">
        <v>32</v>
      </c>
      <c r="E182" s="18">
        <v>2217.7255913097347</v>
      </c>
      <c r="F182" s="18">
        <v>2966.8439680000001</v>
      </c>
      <c r="G182" s="18">
        <v>3022.8897892787609</v>
      </c>
      <c r="H182" s="18">
        <v>3238.6505627964607</v>
      </c>
      <c r="I182" s="18">
        <v>3309.7891947964604</v>
      </c>
      <c r="J182" s="18">
        <v>3341.2539289911501</v>
      </c>
      <c r="L182" s="16" t="s">
        <v>36</v>
      </c>
      <c r="M182" s="17" t="s">
        <v>32</v>
      </c>
      <c r="N182" s="18">
        <v>6100.3201817256631</v>
      </c>
      <c r="O182" s="18">
        <v>7296.5647040000003</v>
      </c>
      <c r="P182" s="18">
        <v>6864.8391121150435</v>
      </c>
      <c r="Q182" s="18">
        <v>6898.6104917345137</v>
      </c>
      <c r="R182" s="18">
        <v>6740.6698016991159</v>
      </c>
      <c r="S182" s="18">
        <v>6417.7095483716812</v>
      </c>
      <c r="U182" s="16" t="s">
        <v>36</v>
      </c>
      <c r="V182" s="17" t="s">
        <v>32</v>
      </c>
      <c r="W182" s="18">
        <f t="shared" si="99"/>
        <v>8318.0457730353974</v>
      </c>
      <c r="X182" s="18">
        <f t="shared" si="94"/>
        <v>10263.408672000001</v>
      </c>
      <c r="Y182" s="18">
        <f t="shared" si="95"/>
        <v>9887.7289013938043</v>
      </c>
      <c r="Z182" s="18">
        <f t="shared" si="96"/>
        <v>10137.261054530974</v>
      </c>
      <c r="AA182" s="18">
        <f t="shared" si="97"/>
        <v>10050.458996495576</v>
      </c>
      <c r="AB182" s="18">
        <f t="shared" si="98"/>
        <v>9758.9634773628313</v>
      </c>
      <c r="AC182" s="19"/>
      <c r="AD182" s="20"/>
      <c r="AE182" s="15"/>
      <c r="AF182" s="21"/>
      <c r="AG182" s="21"/>
      <c r="AH182" s="21"/>
      <c r="AI182" s="21"/>
      <c r="AJ182" s="21"/>
      <c r="AK182" s="21"/>
      <c r="AL182" s="19"/>
      <c r="AM182" s="21"/>
      <c r="AN182" s="21"/>
      <c r="AO182" s="21"/>
      <c r="AP182" s="21"/>
      <c r="AQ182" s="21"/>
      <c r="AR182" s="21"/>
      <c r="AS182" s="21"/>
    </row>
    <row r="183" spans="1:86">
      <c r="C183" s="16" t="s">
        <v>37</v>
      </c>
      <c r="D183" s="17" t="s">
        <v>32</v>
      </c>
      <c r="E183" s="18">
        <v>343912.29740625084</v>
      </c>
      <c r="F183" s="18">
        <v>382427.85829698195</v>
      </c>
      <c r="G183" s="18">
        <v>318080.29985678068</v>
      </c>
      <c r="H183" s="18">
        <v>310805.22317279963</v>
      </c>
      <c r="I183" s="18">
        <v>314309.07963160833</v>
      </c>
      <c r="J183" s="18">
        <v>310796.21154659538</v>
      </c>
      <c r="L183" s="16" t="s">
        <v>37</v>
      </c>
      <c r="M183" s="17" t="s">
        <v>32</v>
      </c>
      <c r="N183" s="18">
        <v>12653.545401521276</v>
      </c>
      <c r="O183" s="18">
        <v>15285.195075747393</v>
      </c>
      <c r="P183" s="18">
        <v>12954.625256210016</v>
      </c>
      <c r="Q183" s="18">
        <v>14277.132493492376</v>
      </c>
      <c r="R183" s="18">
        <v>14993.385298096029</v>
      </c>
      <c r="S183" s="18">
        <v>15486.348370555421</v>
      </c>
      <c r="U183" s="16" t="s">
        <v>37</v>
      </c>
      <c r="V183" s="17" t="s">
        <v>32</v>
      </c>
      <c r="W183" s="18">
        <f t="shared" si="99"/>
        <v>356565.8428077721</v>
      </c>
      <c r="X183" s="18">
        <f t="shared" si="94"/>
        <v>397713.05337272934</v>
      </c>
      <c r="Y183" s="18">
        <f t="shared" si="95"/>
        <v>331034.92511299072</v>
      </c>
      <c r="Z183" s="18">
        <f t="shared" si="96"/>
        <v>325082.35566629202</v>
      </c>
      <c r="AA183" s="18">
        <f t="shared" si="97"/>
        <v>329302.46492970438</v>
      </c>
      <c r="AB183" s="18">
        <f t="shared" si="98"/>
        <v>326282.55991715082</v>
      </c>
      <c r="AC183" s="19"/>
      <c r="AD183" s="28"/>
      <c r="AE183" s="15"/>
      <c r="AF183" s="21"/>
      <c r="AG183" s="21"/>
      <c r="AH183" s="21"/>
      <c r="AI183" s="21"/>
      <c r="AJ183" s="21"/>
      <c r="AK183" s="21"/>
      <c r="AL183" s="19"/>
      <c r="AM183" s="21"/>
      <c r="AN183" s="21"/>
      <c r="AO183" s="21"/>
      <c r="AP183" s="21"/>
      <c r="AQ183" s="21"/>
      <c r="AR183" s="21"/>
      <c r="AS183" s="21"/>
    </row>
    <row r="184" spans="1:86">
      <c r="C184" s="16" t="s">
        <v>38</v>
      </c>
      <c r="D184" s="17" t="s">
        <v>32</v>
      </c>
      <c r="E184" s="18">
        <v>11281.46908482131</v>
      </c>
      <c r="F184" s="18">
        <v>11826.607360816804</v>
      </c>
      <c r="G184" s="18">
        <v>11571.164866187806</v>
      </c>
      <c r="H184" s="18">
        <v>11190.79144897066</v>
      </c>
      <c r="I184" s="18">
        <v>10056.914901365453</v>
      </c>
      <c r="J184" s="18">
        <v>10442.163756817503</v>
      </c>
      <c r="L184" s="16" t="s">
        <v>38</v>
      </c>
      <c r="M184" s="17" t="s">
        <v>32</v>
      </c>
      <c r="N184" s="18">
        <v>150.09236145079888</v>
      </c>
      <c r="O184" s="18">
        <v>148.85853452280415</v>
      </c>
      <c r="P184" s="18">
        <v>148.80068559430478</v>
      </c>
      <c r="Q184" s="18">
        <v>146.15436128704783</v>
      </c>
      <c r="R184" s="18">
        <v>121.87833369255486</v>
      </c>
      <c r="S184" s="18">
        <v>121.75693740327338</v>
      </c>
      <c r="U184" s="16" t="s">
        <v>38</v>
      </c>
      <c r="V184" s="17" t="s">
        <v>32</v>
      </c>
      <c r="W184" s="18">
        <f t="shared" si="99"/>
        <v>11431.56144627211</v>
      </c>
      <c r="X184" s="18">
        <f t="shared" si="94"/>
        <v>11975.465895339608</v>
      </c>
      <c r="Y184" s="18">
        <f t="shared" si="95"/>
        <v>11719.96555178211</v>
      </c>
      <c r="Z184" s="18">
        <f t="shared" si="96"/>
        <v>11336.945810257708</v>
      </c>
      <c r="AA184" s="18">
        <f t="shared" si="97"/>
        <v>10178.793235058009</v>
      </c>
      <c r="AB184" s="18">
        <f t="shared" si="98"/>
        <v>10563.920694220777</v>
      </c>
      <c r="AC184" s="19"/>
      <c r="AD184" s="20"/>
      <c r="AE184" s="15"/>
      <c r="AF184" s="21"/>
      <c r="AG184" s="21"/>
      <c r="AH184" s="21"/>
      <c r="AI184" s="21"/>
      <c r="AJ184" s="21"/>
      <c r="AK184" s="21"/>
      <c r="AL184" s="19"/>
      <c r="AM184" s="21"/>
      <c r="AN184" s="21"/>
      <c r="AO184" s="21"/>
      <c r="AP184" s="21"/>
      <c r="AQ184" s="21"/>
      <c r="AR184" s="21"/>
      <c r="AS184" s="21"/>
    </row>
    <row r="185" spans="1:86">
      <c r="C185" s="16" t="s">
        <v>39</v>
      </c>
      <c r="D185" s="17" t="s">
        <v>32</v>
      </c>
      <c r="E185" s="18">
        <v>10167.368586511442</v>
      </c>
      <c r="F185" s="18">
        <v>10285.645632842941</v>
      </c>
      <c r="G185" s="18">
        <v>10825.181004719676</v>
      </c>
      <c r="H185" s="18">
        <v>11119.540113963712</v>
      </c>
      <c r="I185" s="18">
        <v>11012.732873574101</v>
      </c>
      <c r="J185" s="18">
        <v>10913.261452836852</v>
      </c>
      <c r="L185" s="16" t="s">
        <v>39</v>
      </c>
      <c r="M185" s="17" t="s">
        <v>32</v>
      </c>
      <c r="N185" s="18">
        <v>19775.856848844836</v>
      </c>
      <c r="O185" s="18">
        <v>21241.32353953438</v>
      </c>
      <c r="P185" s="18">
        <v>21526.754841869264</v>
      </c>
      <c r="Q185" s="18">
        <v>20322.684277162451</v>
      </c>
      <c r="R185" s="18">
        <v>19814.845100365019</v>
      </c>
      <c r="S185" s="18">
        <v>19835.225295246033</v>
      </c>
      <c r="U185" s="16" t="s">
        <v>39</v>
      </c>
      <c r="V185" s="17" t="s">
        <v>32</v>
      </c>
      <c r="W185" s="18">
        <f t="shared" si="99"/>
        <v>29943.225435356278</v>
      </c>
      <c r="X185" s="18">
        <f t="shared" si="94"/>
        <v>31526.969172377321</v>
      </c>
      <c r="Y185" s="18">
        <f t="shared" si="95"/>
        <v>32351.935846588938</v>
      </c>
      <c r="Z185" s="18">
        <f t="shared" si="96"/>
        <v>31442.224391126161</v>
      </c>
      <c r="AA185" s="18">
        <f t="shared" si="97"/>
        <v>30827.577973939122</v>
      </c>
      <c r="AB185" s="18">
        <f t="shared" si="98"/>
        <v>30748.486748082883</v>
      </c>
      <c r="AC185" s="19"/>
      <c r="AD185" s="20"/>
      <c r="AE185" s="15"/>
      <c r="AF185" s="21"/>
      <c r="AG185" s="21"/>
      <c r="AH185" s="21"/>
      <c r="AI185" s="21"/>
      <c r="AJ185" s="21"/>
      <c r="AK185" s="21"/>
      <c r="AL185" s="19"/>
      <c r="AM185" s="21"/>
      <c r="AN185" s="21"/>
      <c r="AO185" s="21"/>
      <c r="AP185" s="21"/>
      <c r="AQ185" s="21"/>
      <c r="AR185" s="21"/>
      <c r="AS185" s="21"/>
    </row>
    <row r="186" spans="1:86">
      <c r="A186" s="22"/>
      <c r="C186" s="23" t="s">
        <v>40</v>
      </c>
      <c r="D186" s="17" t="s">
        <v>32</v>
      </c>
      <c r="E186" s="24">
        <v>3196170.2599742343</v>
      </c>
      <c r="F186" s="24">
        <v>3260376.0984987165</v>
      </c>
      <c r="G186" s="24">
        <v>3179883.3392504361</v>
      </c>
      <c r="H186" s="24">
        <v>3219430.0174684823</v>
      </c>
      <c r="I186" s="24">
        <v>3183282.9583655209</v>
      </c>
      <c r="J186" s="24">
        <v>3125387.6635264764</v>
      </c>
      <c r="L186" s="23" t="s">
        <v>40</v>
      </c>
      <c r="M186" s="17" t="s">
        <v>32</v>
      </c>
      <c r="N186" s="24">
        <v>115358.77499357812</v>
      </c>
      <c r="O186" s="24">
        <v>114448.78529444603</v>
      </c>
      <c r="P186" s="24">
        <v>104455.07557101296</v>
      </c>
      <c r="Q186" s="24">
        <v>101970.95796784283</v>
      </c>
      <c r="R186" s="24">
        <v>98455.468238177418</v>
      </c>
      <c r="S186" s="24">
        <v>95714.85793760352</v>
      </c>
      <c r="U186" s="23" t="s">
        <v>40</v>
      </c>
      <c r="V186" s="17" t="s">
        <v>32</v>
      </c>
      <c r="W186" s="24">
        <f>SUM(W178:W185)</f>
        <v>3311529.0349678127</v>
      </c>
      <c r="X186" s="24">
        <f t="shared" ref="X186:AB186" si="100">SUM(X178:X185)</f>
        <v>3374824.8837931617</v>
      </c>
      <c r="Y186" s="24">
        <f t="shared" si="100"/>
        <v>3284338.4148214492</v>
      </c>
      <c r="Z186" s="24">
        <f t="shared" si="100"/>
        <v>3321400.9754363257</v>
      </c>
      <c r="AA186" s="24">
        <f t="shared" si="100"/>
        <v>3281738.4266036991</v>
      </c>
      <c r="AB186" s="24">
        <f t="shared" si="100"/>
        <v>3221102.5214640801</v>
      </c>
      <c r="AC186" s="25"/>
      <c r="AD186" s="26"/>
      <c r="AE186" s="15"/>
      <c r="AF186" s="27"/>
      <c r="AG186" s="27"/>
      <c r="AH186" s="27"/>
      <c r="AI186" s="27"/>
      <c r="AJ186" s="27"/>
      <c r="AK186" s="27"/>
      <c r="AL186" s="25"/>
      <c r="AM186" s="27"/>
      <c r="AN186" s="27"/>
      <c r="AO186" s="27"/>
      <c r="AP186" s="27"/>
      <c r="AQ186" s="27"/>
      <c r="AR186" s="27"/>
      <c r="AS186" s="27"/>
    </row>
    <row r="188" spans="1:86">
      <c r="C188" s="9" t="s">
        <v>44</v>
      </c>
      <c r="D188" s="9"/>
      <c r="E188" s="9"/>
      <c r="F188" s="9"/>
      <c r="G188" s="9"/>
      <c r="H188" s="9"/>
      <c r="I188" s="9"/>
      <c r="J188" s="9"/>
      <c r="L188" s="9" t="s">
        <v>44</v>
      </c>
      <c r="M188" s="9"/>
      <c r="N188" s="9"/>
      <c r="O188" s="9"/>
      <c r="P188" s="9"/>
      <c r="Q188" s="9"/>
      <c r="R188" s="9"/>
      <c r="S188" s="9"/>
      <c r="U188" s="9" t="str">
        <f>L188</f>
        <v>Thermal Coal</v>
      </c>
      <c r="V188" s="9"/>
      <c r="W188" s="9"/>
      <c r="X188" s="9"/>
      <c r="Y188" s="9"/>
      <c r="Z188" s="9"/>
      <c r="AA188" s="9"/>
      <c r="AB188" s="9"/>
      <c r="AC188" s="8"/>
      <c r="AD188" s="10"/>
      <c r="AE188" s="10"/>
      <c r="AF188" s="10"/>
      <c r="AG188" s="10"/>
      <c r="AH188" s="10"/>
      <c r="AI188" s="10"/>
      <c r="AJ188" s="10"/>
      <c r="AK188" s="10"/>
      <c r="AL188" s="8"/>
      <c r="AM188" s="10"/>
      <c r="AN188" s="10"/>
      <c r="AO188" s="10"/>
      <c r="AP188" s="10"/>
      <c r="AQ188" s="10"/>
      <c r="AR188" s="10"/>
      <c r="AS188" s="10"/>
    </row>
    <row r="189" spans="1:86" s="15" customFormat="1">
      <c r="A189" s="11"/>
      <c r="B189" s="11"/>
      <c r="C189" s="60"/>
      <c r="D189" s="60" t="s">
        <v>11</v>
      </c>
      <c r="E189" s="61">
        <v>2020</v>
      </c>
      <c r="F189" s="61">
        <v>2021</v>
      </c>
      <c r="G189" s="61">
        <v>2022</v>
      </c>
      <c r="H189" s="61">
        <v>2023</v>
      </c>
      <c r="I189" s="61">
        <v>2024</v>
      </c>
      <c r="J189" s="61">
        <v>2025</v>
      </c>
      <c r="K189" s="11"/>
      <c r="L189" s="60"/>
      <c r="M189" s="60" t="s">
        <v>11</v>
      </c>
      <c r="N189" s="61">
        <v>2020</v>
      </c>
      <c r="O189" s="61">
        <v>2021</v>
      </c>
      <c r="P189" s="61">
        <v>2022</v>
      </c>
      <c r="Q189" s="61">
        <v>2023</v>
      </c>
      <c r="R189" s="61">
        <v>2024</v>
      </c>
      <c r="S189" s="61">
        <v>2025</v>
      </c>
      <c r="T189" s="11"/>
      <c r="U189" s="60"/>
      <c r="V189" s="60" t="s">
        <v>11</v>
      </c>
      <c r="W189" s="61">
        <v>2020</v>
      </c>
      <c r="X189" s="61">
        <v>2021</v>
      </c>
      <c r="Y189" s="61">
        <v>2022</v>
      </c>
      <c r="Z189" s="61">
        <v>2023</v>
      </c>
      <c r="AA189" s="61">
        <v>2024</v>
      </c>
      <c r="AB189" s="61">
        <v>2025</v>
      </c>
      <c r="AC189" s="12"/>
      <c r="AD189" s="11"/>
      <c r="AE189" s="11"/>
      <c r="AF189" s="13"/>
      <c r="AG189" s="13"/>
      <c r="AH189" s="13"/>
      <c r="AI189" s="13"/>
      <c r="AJ189" s="13"/>
      <c r="AK189" s="13"/>
      <c r="AL189" s="12"/>
      <c r="AM189" s="13"/>
      <c r="AN189" s="13"/>
      <c r="AO189" s="13"/>
      <c r="AP189" s="13"/>
      <c r="AQ189" s="13"/>
      <c r="AR189" s="13"/>
      <c r="AS189" s="13"/>
      <c r="AT189" s="11"/>
      <c r="AU189" s="11"/>
      <c r="AV189" s="11"/>
      <c r="AW189" s="11"/>
      <c r="AX189" s="11"/>
      <c r="AY189" s="11"/>
      <c r="AZ189" s="11"/>
      <c r="BA189" s="11"/>
      <c r="BB189" s="11"/>
      <c r="BC189" s="11"/>
      <c r="BD189" s="14"/>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c r="CF189" s="11"/>
      <c r="CG189" s="11"/>
      <c r="CH189" s="11"/>
    </row>
    <row r="190" spans="1:86">
      <c r="A190" s="11"/>
      <c r="B190" s="11"/>
      <c r="C190" s="16" t="s">
        <v>31</v>
      </c>
      <c r="D190" s="17" t="s">
        <v>32</v>
      </c>
      <c r="E190" s="18">
        <v>55194.638982715325</v>
      </c>
      <c r="F190" s="18">
        <v>64411.033953523147</v>
      </c>
      <c r="G190" s="18">
        <v>65354.841024122186</v>
      </c>
      <c r="H190" s="18">
        <v>61931.048482193539</v>
      </c>
      <c r="I190" s="18">
        <v>54484.645586763632</v>
      </c>
      <c r="J190" s="18">
        <v>54709.372426068549</v>
      </c>
      <c r="K190" s="11"/>
      <c r="L190" s="16" t="s">
        <v>31</v>
      </c>
      <c r="M190" s="17" t="s">
        <v>32</v>
      </c>
      <c r="N190" s="18">
        <v>1216.2544558446589</v>
      </c>
      <c r="O190" s="18">
        <v>1285.2855454840021</v>
      </c>
      <c r="P190" s="18">
        <v>1269.2303669359485</v>
      </c>
      <c r="Q190" s="18">
        <v>1169.8297135817768</v>
      </c>
      <c r="R190" s="18">
        <v>1026.1201995734673</v>
      </c>
      <c r="S190" s="18">
        <v>971.82881062867159</v>
      </c>
      <c r="T190" s="11"/>
      <c r="U190" s="16" t="s">
        <v>31</v>
      </c>
      <c r="V190" s="17" t="s">
        <v>32</v>
      </c>
      <c r="W190" s="18">
        <f>E190+N190</f>
        <v>56410.893438559986</v>
      </c>
      <c r="X190" s="18">
        <f t="shared" ref="X190:X197" si="101">F190+O190</f>
        <v>65696.31949900715</v>
      </c>
      <c r="Y190" s="18">
        <f t="shared" ref="Y190:Y197" si="102">G190+P190</f>
        <v>66624.07139105814</v>
      </c>
      <c r="Z190" s="18">
        <f t="shared" ref="Z190:Z197" si="103">H190+Q190</f>
        <v>63100.878195775316</v>
      </c>
      <c r="AA190" s="18">
        <f t="shared" ref="AA190:AA197" si="104">I190+R190</f>
        <v>55510.765786337099</v>
      </c>
      <c r="AB190" s="18">
        <f t="shared" ref="AB190:AB197" si="105">J190+S190</f>
        <v>55681.201236697219</v>
      </c>
      <c r="AC190" s="19"/>
      <c r="AD190" s="28"/>
      <c r="AE190" s="15"/>
      <c r="AF190" s="21"/>
      <c r="AG190" s="21"/>
      <c r="AH190" s="21"/>
      <c r="AI190" s="21"/>
      <c r="AJ190" s="21"/>
      <c r="AK190" s="21"/>
      <c r="AL190" s="19"/>
      <c r="AM190" s="21"/>
      <c r="AN190" s="21"/>
      <c r="AO190" s="21"/>
      <c r="AP190" s="21"/>
      <c r="AQ190" s="21"/>
      <c r="AR190" s="21"/>
      <c r="AS190" s="21"/>
      <c r="AT190" s="11"/>
      <c r="AU190" s="11"/>
      <c r="AV190" s="11"/>
      <c r="AW190" s="11"/>
      <c r="AX190" s="11"/>
      <c r="AY190" s="11"/>
      <c r="AZ190" s="11"/>
      <c r="BA190" s="11"/>
      <c r="BB190" s="11"/>
      <c r="BC190" s="11"/>
      <c r="BD190" s="14"/>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c r="CF190" s="11"/>
      <c r="CG190" s="11"/>
      <c r="CH190" s="11"/>
    </row>
    <row r="191" spans="1:86">
      <c r="C191" s="16" t="s">
        <v>33</v>
      </c>
      <c r="D191" s="17" t="s">
        <v>32</v>
      </c>
      <c r="E191" s="18">
        <v>22935.609810559661</v>
      </c>
      <c r="F191" s="18">
        <v>26119.931846097497</v>
      </c>
      <c r="G191" s="18">
        <v>22318.288816273409</v>
      </c>
      <c r="H191" s="18">
        <v>24467.988303127804</v>
      </c>
      <c r="I191" s="18">
        <v>26225.226027887158</v>
      </c>
      <c r="J191" s="18">
        <v>27629.56943685425</v>
      </c>
      <c r="L191" s="16" t="s">
        <v>33</v>
      </c>
      <c r="M191" s="17" t="s">
        <v>32</v>
      </c>
      <c r="N191" s="18">
        <v>751.96998170345887</v>
      </c>
      <c r="O191" s="18">
        <v>781.87859742846672</v>
      </c>
      <c r="P191" s="18">
        <v>732.02974650513283</v>
      </c>
      <c r="Q191" s="18">
        <v>785.91633930126113</v>
      </c>
      <c r="R191" s="18">
        <v>811.37751438074781</v>
      </c>
      <c r="S191" s="18">
        <v>838.79551270255104</v>
      </c>
      <c r="U191" s="16" t="s">
        <v>33</v>
      </c>
      <c r="V191" s="17" t="s">
        <v>32</v>
      </c>
      <c r="W191" s="18">
        <f t="shared" ref="W191:W197" si="106">E191+N191</f>
        <v>23687.579792263121</v>
      </c>
      <c r="X191" s="18">
        <f t="shared" si="101"/>
        <v>26901.810443525963</v>
      </c>
      <c r="Y191" s="18">
        <f t="shared" si="102"/>
        <v>23050.318562778542</v>
      </c>
      <c r="Z191" s="18">
        <f t="shared" si="103"/>
        <v>25253.904642429065</v>
      </c>
      <c r="AA191" s="18">
        <f t="shared" si="104"/>
        <v>27036.603542267905</v>
      </c>
      <c r="AB191" s="18">
        <f t="shared" si="105"/>
        <v>28468.364949556802</v>
      </c>
      <c r="AC191" s="19"/>
      <c r="AD191" s="20"/>
      <c r="AE191" s="15"/>
      <c r="AF191" s="21"/>
      <c r="AG191" s="21"/>
      <c r="AH191" s="21"/>
      <c r="AI191" s="21"/>
      <c r="AJ191" s="21"/>
      <c r="AK191" s="21"/>
      <c r="AL191" s="19"/>
      <c r="AM191" s="21"/>
      <c r="AN191" s="21"/>
      <c r="AO191" s="21"/>
      <c r="AP191" s="21"/>
      <c r="AQ191" s="21"/>
      <c r="AR191" s="21"/>
      <c r="AS191" s="21"/>
    </row>
    <row r="192" spans="1:86">
      <c r="C192" s="16" t="s">
        <v>34</v>
      </c>
      <c r="D192" s="17" t="s">
        <v>32</v>
      </c>
      <c r="E192" s="18">
        <v>2751.157783307001</v>
      </c>
      <c r="F192" s="18">
        <v>3094.842806588164</v>
      </c>
      <c r="G192" s="18">
        <v>3080.6659796523359</v>
      </c>
      <c r="H192" s="18">
        <v>3001.1688977394883</v>
      </c>
      <c r="I192" s="18">
        <v>3303.0116609644651</v>
      </c>
      <c r="J192" s="18">
        <v>4110.7456904407591</v>
      </c>
      <c r="L192" s="16" t="s">
        <v>34</v>
      </c>
      <c r="M192" s="17" t="s">
        <v>32</v>
      </c>
      <c r="N192" s="18">
        <v>15.536766120520168</v>
      </c>
      <c r="O192" s="18">
        <v>26.28670980750115</v>
      </c>
      <c r="P192" s="18">
        <v>23.844958385157621</v>
      </c>
      <c r="Q192" s="18">
        <v>20.026992932825799</v>
      </c>
      <c r="R192" s="18">
        <v>20.805901940036712</v>
      </c>
      <c r="S192" s="18">
        <v>28.120827391235256</v>
      </c>
      <c r="U192" s="16" t="s">
        <v>34</v>
      </c>
      <c r="V192" s="17" t="s">
        <v>32</v>
      </c>
      <c r="W192" s="18">
        <f t="shared" si="106"/>
        <v>2766.694549427521</v>
      </c>
      <c r="X192" s="18">
        <f t="shared" si="101"/>
        <v>3121.1295163956652</v>
      </c>
      <c r="Y192" s="18">
        <f t="shared" si="102"/>
        <v>3104.5109380374934</v>
      </c>
      <c r="Z192" s="18">
        <f t="shared" si="103"/>
        <v>3021.1958906723139</v>
      </c>
      <c r="AA192" s="18">
        <f t="shared" si="104"/>
        <v>3323.8175629045018</v>
      </c>
      <c r="AB192" s="18">
        <f t="shared" si="105"/>
        <v>4138.8665178319943</v>
      </c>
      <c r="AC192" s="19"/>
      <c r="AD192" s="20"/>
      <c r="AE192" s="15"/>
      <c r="AF192" s="21"/>
      <c r="AG192" s="21"/>
      <c r="AH192" s="21"/>
      <c r="AI192" s="21"/>
      <c r="AJ192" s="21"/>
      <c r="AK192" s="21"/>
      <c r="AL192" s="19"/>
      <c r="AM192" s="21"/>
      <c r="AN192" s="21"/>
      <c r="AO192" s="21"/>
      <c r="AP192" s="21"/>
      <c r="AQ192" s="21"/>
      <c r="AR192" s="21"/>
      <c r="AS192" s="21"/>
    </row>
    <row r="193" spans="1:86">
      <c r="C193" s="16" t="s">
        <v>35</v>
      </c>
      <c r="D193" s="17" t="s">
        <v>32</v>
      </c>
      <c r="E193" s="18">
        <v>843628.07400784106</v>
      </c>
      <c r="F193" s="18">
        <v>878003.83716287615</v>
      </c>
      <c r="G193" s="18">
        <v>915318.57401859493</v>
      </c>
      <c r="H193" s="18">
        <v>923997.40900204738</v>
      </c>
      <c r="I193" s="18">
        <v>939722.61294623255</v>
      </c>
      <c r="J193" s="18">
        <v>924156.92471383116</v>
      </c>
      <c r="L193" s="16" t="s">
        <v>35</v>
      </c>
      <c r="M193" s="17" t="s">
        <v>32</v>
      </c>
      <c r="N193" s="18">
        <v>23534.040248293331</v>
      </c>
      <c r="O193" s="18">
        <v>23899.601224600479</v>
      </c>
      <c r="P193" s="18">
        <v>24512.023285733652</v>
      </c>
      <c r="Q193" s="18">
        <v>24784.983119229157</v>
      </c>
      <c r="R193" s="18">
        <v>24835.899220160602</v>
      </c>
      <c r="S193" s="18">
        <v>23906.711306792982</v>
      </c>
      <c r="U193" s="16" t="s">
        <v>35</v>
      </c>
      <c r="V193" s="17" t="s">
        <v>32</v>
      </c>
      <c r="W193" s="18">
        <f t="shared" si="106"/>
        <v>867162.11425613437</v>
      </c>
      <c r="X193" s="18">
        <f t="shared" si="101"/>
        <v>901903.43838747661</v>
      </c>
      <c r="Y193" s="18">
        <f t="shared" si="102"/>
        <v>939830.59730432858</v>
      </c>
      <c r="Z193" s="18">
        <f t="shared" si="103"/>
        <v>948782.39212127659</v>
      </c>
      <c r="AA193" s="18">
        <f t="shared" si="104"/>
        <v>964558.51216639311</v>
      </c>
      <c r="AB193" s="18">
        <f t="shared" si="105"/>
        <v>948063.6360206242</v>
      </c>
      <c r="AC193" s="19"/>
      <c r="AD193" s="20"/>
      <c r="AE193" s="15"/>
      <c r="AF193" s="21"/>
      <c r="AG193" s="21"/>
      <c r="AH193" s="21"/>
      <c r="AI193" s="21"/>
      <c r="AJ193" s="21"/>
      <c r="AK193" s="21"/>
      <c r="AL193" s="19"/>
      <c r="AM193" s="21"/>
      <c r="AN193" s="21"/>
      <c r="AO193" s="21"/>
      <c r="AP193" s="21"/>
      <c r="AQ193" s="21"/>
      <c r="AR193" s="21"/>
      <c r="AS193" s="21"/>
    </row>
    <row r="194" spans="1:86">
      <c r="C194" s="16" t="s">
        <v>36</v>
      </c>
      <c r="D194" s="17" t="s">
        <v>32</v>
      </c>
      <c r="E194" s="18">
        <v>5783.6792045540333</v>
      </c>
      <c r="F194" s="18">
        <v>5411.4722092176826</v>
      </c>
      <c r="G194" s="18">
        <v>5532.8874628602089</v>
      </c>
      <c r="H194" s="18">
        <v>5710.8711374524628</v>
      </c>
      <c r="I194" s="18">
        <v>5762.0051523694601</v>
      </c>
      <c r="J194" s="18">
        <v>5590.1484459706817</v>
      </c>
      <c r="L194" s="16" t="s">
        <v>36</v>
      </c>
      <c r="M194" s="17" t="s">
        <v>32</v>
      </c>
      <c r="N194" s="18">
        <v>1870.9848863351444</v>
      </c>
      <c r="O194" s="18">
        <v>1744.8210175106904</v>
      </c>
      <c r="P194" s="18">
        <v>1757.2735087025999</v>
      </c>
      <c r="Q194" s="18">
        <v>1715.3112763533068</v>
      </c>
      <c r="R194" s="18">
        <v>1751.6541924855264</v>
      </c>
      <c r="S194" s="18">
        <v>1755.1361838511925</v>
      </c>
      <c r="U194" s="16" t="s">
        <v>36</v>
      </c>
      <c r="V194" s="17" t="s">
        <v>32</v>
      </c>
      <c r="W194" s="18">
        <f t="shared" si="106"/>
        <v>7654.6640908891777</v>
      </c>
      <c r="X194" s="18">
        <f t="shared" si="101"/>
        <v>7156.2932267283732</v>
      </c>
      <c r="Y194" s="18">
        <f t="shared" si="102"/>
        <v>7290.1609715628092</v>
      </c>
      <c r="Z194" s="18">
        <f t="shared" si="103"/>
        <v>7426.1824138057691</v>
      </c>
      <c r="AA194" s="18">
        <f t="shared" si="104"/>
        <v>7513.6593448549866</v>
      </c>
      <c r="AB194" s="18">
        <f t="shared" si="105"/>
        <v>7345.2846298218738</v>
      </c>
      <c r="AC194" s="19"/>
      <c r="AD194" s="20"/>
      <c r="AE194" s="15"/>
      <c r="AF194" s="21"/>
      <c r="AG194" s="21"/>
      <c r="AH194" s="21"/>
      <c r="AI194" s="21"/>
      <c r="AJ194" s="21"/>
      <c r="AK194" s="21"/>
      <c r="AL194" s="19"/>
      <c r="AM194" s="21"/>
      <c r="AN194" s="21"/>
      <c r="AO194" s="21"/>
      <c r="AP194" s="21"/>
      <c r="AQ194" s="21"/>
      <c r="AR194" s="21"/>
      <c r="AS194" s="21"/>
    </row>
    <row r="195" spans="1:86">
      <c r="C195" s="16" t="s">
        <v>37</v>
      </c>
      <c r="D195" s="17" t="s">
        <v>32</v>
      </c>
      <c r="E195" s="18">
        <v>0</v>
      </c>
      <c r="F195" s="18">
        <v>0</v>
      </c>
      <c r="G195" s="18">
        <v>0</v>
      </c>
      <c r="H195" s="18">
        <v>0</v>
      </c>
      <c r="I195" s="18">
        <v>0</v>
      </c>
      <c r="J195" s="18">
        <v>0</v>
      </c>
      <c r="L195" s="16" t="s">
        <v>37</v>
      </c>
      <c r="M195" s="17" t="s">
        <v>32</v>
      </c>
      <c r="N195" s="18">
        <v>0</v>
      </c>
      <c r="O195" s="18">
        <v>0</v>
      </c>
      <c r="P195" s="18">
        <v>0</v>
      </c>
      <c r="Q195" s="18">
        <v>0</v>
      </c>
      <c r="R195" s="18">
        <v>0</v>
      </c>
      <c r="S195" s="18">
        <v>0</v>
      </c>
      <c r="U195" s="16" t="s">
        <v>37</v>
      </c>
      <c r="V195" s="17" t="s">
        <v>32</v>
      </c>
      <c r="W195" s="18">
        <f t="shared" si="106"/>
        <v>0</v>
      </c>
      <c r="X195" s="18">
        <f t="shared" si="101"/>
        <v>0</v>
      </c>
      <c r="Y195" s="18">
        <f t="shared" si="102"/>
        <v>0</v>
      </c>
      <c r="Z195" s="18">
        <f t="shared" si="103"/>
        <v>0</v>
      </c>
      <c r="AA195" s="18">
        <f t="shared" si="104"/>
        <v>0</v>
      </c>
      <c r="AB195" s="18">
        <f t="shared" si="105"/>
        <v>0</v>
      </c>
      <c r="AC195" s="19"/>
      <c r="AD195" s="20"/>
      <c r="AE195" s="15"/>
      <c r="AF195" s="21"/>
      <c r="AG195" s="21"/>
      <c r="AH195" s="21"/>
      <c r="AI195" s="21"/>
      <c r="AJ195" s="21"/>
      <c r="AK195" s="21"/>
      <c r="AL195" s="19"/>
      <c r="AM195" s="21"/>
      <c r="AN195" s="21"/>
      <c r="AO195" s="21"/>
      <c r="AP195" s="21"/>
      <c r="AQ195" s="21"/>
      <c r="AR195" s="21"/>
      <c r="AS195" s="21"/>
    </row>
    <row r="196" spans="1:86">
      <c r="C196" s="16" t="s">
        <v>38</v>
      </c>
      <c r="D196" s="17" t="s">
        <v>32</v>
      </c>
      <c r="E196" s="18">
        <v>16665.639861271178</v>
      </c>
      <c r="F196" s="18">
        <v>16220.479501372854</v>
      </c>
      <c r="G196" s="18">
        <v>15724.82806198314</v>
      </c>
      <c r="H196" s="18">
        <v>16862.348026961437</v>
      </c>
      <c r="I196" s="18">
        <v>17050.018134663584</v>
      </c>
      <c r="J196" s="18">
        <v>17842.479318953465</v>
      </c>
      <c r="L196" s="16" t="s">
        <v>38</v>
      </c>
      <c r="M196" s="17" t="s">
        <v>32</v>
      </c>
      <c r="N196" s="18">
        <v>1799.6051883280466</v>
      </c>
      <c r="O196" s="18">
        <v>1584.6212744888085</v>
      </c>
      <c r="P196" s="18">
        <v>1549.9884948843846</v>
      </c>
      <c r="Q196" s="18">
        <v>1464.4677881561647</v>
      </c>
      <c r="R196" s="18">
        <v>1547.3486764213458</v>
      </c>
      <c r="S196" s="18">
        <v>1641.7105935279242</v>
      </c>
      <c r="U196" s="16" t="s">
        <v>38</v>
      </c>
      <c r="V196" s="17" t="s">
        <v>32</v>
      </c>
      <c r="W196" s="18">
        <f t="shared" si="106"/>
        <v>18465.245049599223</v>
      </c>
      <c r="X196" s="18">
        <f t="shared" si="101"/>
        <v>17805.100775861662</v>
      </c>
      <c r="Y196" s="18">
        <f t="shared" si="102"/>
        <v>17274.816556867525</v>
      </c>
      <c r="Z196" s="18">
        <f t="shared" si="103"/>
        <v>18326.815815117603</v>
      </c>
      <c r="AA196" s="18">
        <f t="shared" si="104"/>
        <v>18597.366811084928</v>
      </c>
      <c r="AB196" s="18">
        <f t="shared" si="105"/>
        <v>19484.18991248139</v>
      </c>
      <c r="AC196" s="19"/>
      <c r="AD196" s="28"/>
      <c r="AE196" s="15"/>
      <c r="AF196" s="21"/>
      <c r="AG196" s="21"/>
      <c r="AH196" s="21"/>
      <c r="AI196" s="21"/>
      <c r="AJ196" s="21"/>
      <c r="AK196" s="21"/>
      <c r="AL196" s="19"/>
      <c r="AM196" s="21"/>
      <c r="AN196" s="21"/>
      <c r="AO196" s="21"/>
      <c r="AP196" s="21"/>
      <c r="AQ196" s="21"/>
      <c r="AR196" s="21"/>
      <c r="AS196" s="21"/>
    </row>
    <row r="197" spans="1:86">
      <c r="C197" s="16" t="s">
        <v>39</v>
      </c>
      <c r="D197" s="17" t="s">
        <v>32</v>
      </c>
      <c r="E197" s="18">
        <v>0</v>
      </c>
      <c r="F197" s="18">
        <v>0</v>
      </c>
      <c r="G197" s="18">
        <v>0</v>
      </c>
      <c r="H197" s="18">
        <v>0</v>
      </c>
      <c r="I197" s="18">
        <v>0</v>
      </c>
      <c r="J197" s="18">
        <v>0</v>
      </c>
      <c r="L197" s="16" t="s">
        <v>39</v>
      </c>
      <c r="M197" s="17" t="s">
        <v>32</v>
      </c>
      <c r="N197" s="18">
        <v>0</v>
      </c>
      <c r="O197" s="18">
        <v>0</v>
      </c>
      <c r="P197" s="18">
        <v>0</v>
      </c>
      <c r="Q197" s="18">
        <v>0</v>
      </c>
      <c r="R197" s="18">
        <v>0</v>
      </c>
      <c r="S197" s="18">
        <v>0</v>
      </c>
      <c r="U197" s="16" t="s">
        <v>39</v>
      </c>
      <c r="V197" s="17" t="s">
        <v>32</v>
      </c>
      <c r="W197" s="18">
        <f t="shared" si="106"/>
        <v>0</v>
      </c>
      <c r="X197" s="18">
        <f t="shared" si="101"/>
        <v>0</v>
      </c>
      <c r="Y197" s="18">
        <f t="shared" si="102"/>
        <v>0</v>
      </c>
      <c r="Z197" s="18">
        <f t="shared" si="103"/>
        <v>0</v>
      </c>
      <c r="AA197" s="18">
        <f t="shared" si="104"/>
        <v>0</v>
      </c>
      <c r="AB197" s="18">
        <f t="shared" si="105"/>
        <v>0</v>
      </c>
      <c r="AC197" s="19"/>
      <c r="AD197" s="20"/>
      <c r="AE197" s="15"/>
      <c r="AF197" s="21"/>
      <c r="AG197" s="21"/>
      <c r="AH197" s="21"/>
      <c r="AI197" s="21"/>
      <c r="AJ197" s="21"/>
      <c r="AK197" s="21"/>
      <c r="AL197" s="19"/>
      <c r="AM197" s="21"/>
      <c r="AN197" s="21"/>
      <c r="AO197" s="21"/>
      <c r="AP197" s="21"/>
      <c r="AQ197" s="21"/>
      <c r="AR197" s="21"/>
      <c r="AS197" s="21"/>
    </row>
    <row r="198" spans="1:86">
      <c r="A198" s="22"/>
      <c r="C198" s="23" t="s">
        <v>40</v>
      </c>
      <c r="D198" s="17" t="s">
        <v>32</v>
      </c>
      <c r="E198" s="24">
        <v>946958.79965024826</v>
      </c>
      <c r="F198" s="24">
        <v>993261.59747967555</v>
      </c>
      <c r="G198" s="24">
        <v>1027330.0853634862</v>
      </c>
      <c r="H198" s="24">
        <v>1035970.8338495221</v>
      </c>
      <c r="I198" s="24">
        <v>1046547.5195088809</v>
      </c>
      <c r="J198" s="24">
        <v>1034039.240032119</v>
      </c>
      <c r="L198" s="23" t="s">
        <v>40</v>
      </c>
      <c r="M198" s="17" t="s">
        <v>32</v>
      </c>
      <c r="N198" s="24">
        <v>29188.391526625157</v>
      </c>
      <c r="O198" s="24">
        <v>29322.494369319946</v>
      </c>
      <c r="P198" s="24">
        <v>29844.390361146878</v>
      </c>
      <c r="Q198" s="24">
        <v>29940.535229554491</v>
      </c>
      <c r="R198" s="24">
        <v>29993.205704961725</v>
      </c>
      <c r="S198" s="24">
        <v>29142.303234894556</v>
      </c>
      <c r="U198" s="23" t="s">
        <v>40</v>
      </c>
      <c r="V198" s="17" t="s">
        <v>32</v>
      </c>
      <c r="W198" s="24">
        <f>SUM(W190:W197)</f>
        <v>976147.1911768734</v>
      </c>
      <c r="X198" s="24">
        <f t="shared" ref="X198:AB198" si="107">SUM(X190:X197)</f>
        <v>1022584.0918489954</v>
      </c>
      <c r="Y198" s="24">
        <f t="shared" si="107"/>
        <v>1057174.4757246331</v>
      </c>
      <c r="Z198" s="24">
        <f t="shared" si="107"/>
        <v>1065911.3690790767</v>
      </c>
      <c r="AA198" s="24">
        <f t="shared" si="107"/>
        <v>1076540.7252138427</v>
      </c>
      <c r="AB198" s="24">
        <f t="shared" si="107"/>
        <v>1063181.5432670135</v>
      </c>
      <c r="AC198" s="25"/>
      <c r="AD198" s="26"/>
      <c r="AE198" s="15"/>
      <c r="AF198" s="27"/>
      <c r="AG198" s="27"/>
      <c r="AH198" s="27"/>
      <c r="AI198" s="27"/>
      <c r="AJ198" s="27"/>
      <c r="AK198" s="27"/>
      <c r="AL198" s="25"/>
      <c r="AM198" s="27"/>
      <c r="AN198" s="27"/>
      <c r="AO198" s="27"/>
      <c r="AP198" s="27"/>
      <c r="AQ198" s="27"/>
      <c r="AR198" s="27"/>
      <c r="AS198" s="27"/>
    </row>
    <row r="200" spans="1:86">
      <c r="C200" s="9" t="s">
        <v>45</v>
      </c>
      <c r="D200" s="9"/>
      <c r="E200" s="9"/>
      <c r="F200" s="9"/>
      <c r="G200" s="9"/>
      <c r="H200" s="9"/>
      <c r="I200" s="9"/>
      <c r="J200" s="9"/>
      <c r="L200" s="9" t="s">
        <v>45</v>
      </c>
      <c r="M200" s="9"/>
      <c r="N200" s="9"/>
      <c r="O200" s="9"/>
      <c r="P200" s="9"/>
      <c r="Q200" s="9"/>
      <c r="R200" s="9"/>
      <c r="S200" s="9"/>
      <c r="U200" s="9" t="str">
        <f>L200</f>
        <v>Metallurgical Coal</v>
      </c>
      <c r="V200" s="9"/>
      <c r="W200" s="9"/>
      <c r="X200" s="9"/>
      <c r="Y200" s="9"/>
      <c r="Z200" s="9"/>
      <c r="AA200" s="9"/>
      <c r="AB200" s="9"/>
      <c r="AC200" s="8"/>
      <c r="AD200" s="10"/>
      <c r="AE200" s="10"/>
      <c r="AF200" s="10"/>
      <c r="AG200" s="10"/>
      <c r="AH200" s="10"/>
      <c r="AI200" s="10"/>
      <c r="AJ200" s="10"/>
      <c r="AK200" s="10"/>
      <c r="AL200" s="8"/>
      <c r="AM200" s="10"/>
      <c r="AN200" s="10"/>
      <c r="AO200" s="10"/>
      <c r="AP200" s="10"/>
      <c r="AQ200" s="10"/>
      <c r="AR200" s="10"/>
      <c r="AS200" s="10"/>
    </row>
    <row r="201" spans="1:86" s="15" customFormat="1">
      <c r="A201" s="11"/>
      <c r="B201" s="11"/>
      <c r="C201" s="60"/>
      <c r="D201" s="60" t="s">
        <v>11</v>
      </c>
      <c r="E201" s="61">
        <v>2020</v>
      </c>
      <c r="F201" s="61">
        <v>2021</v>
      </c>
      <c r="G201" s="61">
        <v>2022</v>
      </c>
      <c r="H201" s="61">
        <v>2023</v>
      </c>
      <c r="I201" s="61">
        <v>2024</v>
      </c>
      <c r="J201" s="61">
        <v>2025</v>
      </c>
      <c r="K201" s="11"/>
      <c r="L201" s="60"/>
      <c r="M201" s="60" t="s">
        <v>11</v>
      </c>
      <c r="N201" s="61">
        <v>2020</v>
      </c>
      <c r="O201" s="61">
        <v>2021</v>
      </c>
      <c r="P201" s="61">
        <v>2022</v>
      </c>
      <c r="Q201" s="61">
        <v>2023</v>
      </c>
      <c r="R201" s="61">
        <v>2024</v>
      </c>
      <c r="S201" s="61">
        <v>2025</v>
      </c>
      <c r="T201" s="11"/>
      <c r="U201" s="60"/>
      <c r="V201" s="60" t="s">
        <v>11</v>
      </c>
      <c r="W201" s="61">
        <v>2020</v>
      </c>
      <c r="X201" s="61">
        <v>2021</v>
      </c>
      <c r="Y201" s="61">
        <v>2022</v>
      </c>
      <c r="Z201" s="61">
        <v>2023</v>
      </c>
      <c r="AA201" s="61">
        <v>2024</v>
      </c>
      <c r="AB201" s="61">
        <v>2025</v>
      </c>
      <c r="AC201" s="12"/>
      <c r="AD201" s="11"/>
      <c r="AE201" s="11"/>
      <c r="AF201" s="13"/>
      <c r="AG201" s="13"/>
      <c r="AH201" s="13"/>
      <c r="AI201" s="13"/>
      <c r="AJ201" s="13"/>
      <c r="AK201" s="13"/>
      <c r="AL201" s="12"/>
      <c r="AM201" s="13"/>
      <c r="AN201" s="13"/>
      <c r="AO201" s="13"/>
      <c r="AP201" s="13"/>
      <c r="AQ201" s="13"/>
      <c r="AR201" s="13"/>
      <c r="AS201" s="13"/>
      <c r="AT201" s="11"/>
      <c r="AU201" s="11"/>
      <c r="AV201" s="11"/>
      <c r="AW201" s="11"/>
      <c r="AX201" s="11"/>
      <c r="AY201" s="11"/>
      <c r="AZ201" s="11"/>
      <c r="BA201" s="11"/>
      <c r="BB201" s="11"/>
      <c r="BC201" s="11"/>
      <c r="BD201" s="14"/>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1"/>
      <c r="CF201" s="11"/>
      <c r="CG201" s="11"/>
      <c r="CH201" s="11"/>
    </row>
    <row r="202" spans="1:86">
      <c r="A202" s="11"/>
      <c r="B202" s="11"/>
      <c r="C202" s="16" t="s">
        <v>31</v>
      </c>
      <c r="D202" s="17" t="s">
        <v>32</v>
      </c>
      <c r="E202" s="18">
        <v>20019.588409842934</v>
      </c>
      <c r="F202" s="18">
        <v>23438.482515510161</v>
      </c>
      <c r="G202" s="18">
        <v>24844.404936306688</v>
      </c>
      <c r="H202" s="18">
        <v>26837.713363369181</v>
      </c>
      <c r="I202" s="18">
        <v>27872.233689128356</v>
      </c>
      <c r="J202" s="18">
        <v>31975.279557986752</v>
      </c>
      <c r="K202" s="11"/>
      <c r="L202" s="16" t="s">
        <v>31</v>
      </c>
      <c r="M202" s="17" t="s">
        <v>32</v>
      </c>
      <c r="N202" s="18">
        <v>366.98165424244451</v>
      </c>
      <c r="O202" s="18">
        <v>503.93204766173625</v>
      </c>
      <c r="P202" s="18">
        <v>527.27259369466117</v>
      </c>
      <c r="Q202" s="18">
        <v>532.42513855245147</v>
      </c>
      <c r="R202" s="18">
        <v>536.2330026278737</v>
      </c>
      <c r="S202" s="18">
        <v>585.13807795140656</v>
      </c>
      <c r="T202" s="11"/>
      <c r="U202" s="16" t="s">
        <v>31</v>
      </c>
      <c r="V202" s="17" t="s">
        <v>32</v>
      </c>
      <c r="W202" s="18">
        <f>E202+N202</f>
        <v>20386.570064085379</v>
      </c>
      <c r="X202" s="18">
        <f t="shared" ref="X202:X209" si="108">F202+O202</f>
        <v>23942.414563171897</v>
      </c>
      <c r="Y202" s="18">
        <f t="shared" ref="Y202:Y209" si="109">G202+P202</f>
        <v>25371.677530001351</v>
      </c>
      <c r="Z202" s="18">
        <f t="shared" ref="Z202:Z209" si="110">H202+Q202</f>
        <v>27370.138501921632</v>
      </c>
      <c r="AA202" s="18">
        <f t="shared" ref="AA202:AA209" si="111">I202+R202</f>
        <v>28408.466691756228</v>
      </c>
      <c r="AB202" s="18">
        <f t="shared" ref="AB202:AB209" si="112">J202+S202</f>
        <v>32560.41763593816</v>
      </c>
      <c r="AC202" s="19"/>
      <c r="AD202" s="20"/>
      <c r="AE202" s="15"/>
      <c r="AF202" s="21"/>
      <c r="AG202" s="21"/>
      <c r="AH202" s="21"/>
      <c r="AI202" s="21"/>
      <c r="AJ202" s="21"/>
      <c r="AK202" s="21"/>
      <c r="AL202" s="19"/>
      <c r="AM202" s="21"/>
      <c r="AN202" s="21"/>
      <c r="AO202" s="21"/>
      <c r="AP202" s="21"/>
      <c r="AQ202" s="21"/>
      <c r="AR202" s="21"/>
      <c r="AS202" s="21"/>
      <c r="AT202" s="11"/>
      <c r="AU202" s="11"/>
      <c r="AV202" s="11"/>
      <c r="AW202" s="11"/>
      <c r="AX202" s="11"/>
      <c r="AY202" s="11"/>
      <c r="AZ202" s="11"/>
      <c r="BA202" s="11"/>
      <c r="BB202" s="11"/>
      <c r="BC202" s="11"/>
      <c r="BD202" s="14"/>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c r="CD202" s="11"/>
      <c r="CE202" s="11"/>
      <c r="CF202" s="11"/>
      <c r="CG202" s="11"/>
      <c r="CH202" s="11"/>
    </row>
    <row r="203" spans="1:86">
      <c r="C203" s="16" t="s">
        <v>33</v>
      </c>
      <c r="D203" s="17" t="s">
        <v>32</v>
      </c>
      <c r="E203" s="18">
        <v>19552.320750664698</v>
      </c>
      <c r="F203" s="18">
        <v>22241.760126675239</v>
      </c>
      <c r="G203" s="18">
        <v>21656.07739814762</v>
      </c>
      <c r="H203" s="18">
        <v>21848.324128852906</v>
      </c>
      <c r="I203" s="18">
        <v>20809.511197143031</v>
      </c>
      <c r="J203" s="18">
        <v>24219.266222778817</v>
      </c>
      <c r="L203" s="16" t="s">
        <v>33</v>
      </c>
      <c r="M203" s="17" t="s">
        <v>32</v>
      </c>
      <c r="N203" s="18">
        <v>379.56035937247867</v>
      </c>
      <c r="O203" s="18">
        <v>408.70895362564886</v>
      </c>
      <c r="P203" s="18">
        <v>403.0060398971699</v>
      </c>
      <c r="Q203" s="18">
        <v>399.55974211962075</v>
      </c>
      <c r="R203" s="18">
        <v>389.74050713303706</v>
      </c>
      <c r="S203" s="18">
        <v>463.09772370698374</v>
      </c>
      <c r="U203" s="16" t="s">
        <v>33</v>
      </c>
      <c r="V203" s="17" t="s">
        <v>32</v>
      </c>
      <c r="W203" s="18">
        <f t="shared" ref="W203:W209" si="113">E203+N203</f>
        <v>19931.881110037175</v>
      </c>
      <c r="X203" s="18">
        <f t="shared" si="108"/>
        <v>22650.469080300889</v>
      </c>
      <c r="Y203" s="18">
        <f t="shared" si="109"/>
        <v>22059.083438044789</v>
      </c>
      <c r="Z203" s="18">
        <f t="shared" si="110"/>
        <v>22247.883870972528</v>
      </c>
      <c r="AA203" s="18">
        <f t="shared" si="111"/>
        <v>21199.251704276066</v>
      </c>
      <c r="AB203" s="18">
        <f t="shared" si="112"/>
        <v>24682.363946485799</v>
      </c>
      <c r="AC203" s="19"/>
      <c r="AD203" s="20"/>
      <c r="AE203" s="15"/>
      <c r="AF203" s="21"/>
      <c r="AG203" s="21"/>
      <c r="AH203" s="21"/>
      <c r="AI203" s="21"/>
      <c r="AJ203" s="21"/>
      <c r="AK203" s="21"/>
      <c r="AL203" s="19"/>
      <c r="AM203" s="21"/>
      <c r="AN203" s="21"/>
      <c r="AO203" s="21"/>
      <c r="AP203" s="21"/>
      <c r="AQ203" s="21"/>
      <c r="AR203" s="21"/>
      <c r="AS203" s="21"/>
    </row>
    <row r="204" spans="1:86">
      <c r="C204" s="16" t="s">
        <v>34</v>
      </c>
      <c r="D204" s="17" t="s">
        <v>32</v>
      </c>
      <c r="E204" s="18">
        <v>0</v>
      </c>
      <c r="F204" s="18">
        <v>0</v>
      </c>
      <c r="G204" s="18">
        <v>0</v>
      </c>
      <c r="H204" s="18">
        <v>0</v>
      </c>
      <c r="I204" s="18">
        <v>0</v>
      </c>
      <c r="J204" s="18">
        <v>370.35430407822889</v>
      </c>
      <c r="L204" s="16" t="s">
        <v>34</v>
      </c>
      <c r="M204" s="17" t="s">
        <v>32</v>
      </c>
      <c r="N204" s="18">
        <v>0</v>
      </c>
      <c r="O204" s="18">
        <v>0</v>
      </c>
      <c r="P204" s="18">
        <v>0</v>
      </c>
      <c r="Q204" s="18">
        <v>0</v>
      </c>
      <c r="R204" s="18">
        <v>0</v>
      </c>
      <c r="S204" s="18">
        <v>0</v>
      </c>
      <c r="U204" s="16" t="s">
        <v>34</v>
      </c>
      <c r="V204" s="17" t="s">
        <v>32</v>
      </c>
      <c r="W204" s="18">
        <f t="shared" si="113"/>
        <v>0</v>
      </c>
      <c r="X204" s="18">
        <f t="shared" si="108"/>
        <v>0</v>
      </c>
      <c r="Y204" s="18">
        <f t="shared" si="109"/>
        <v>0</v>
      </c>
      <c r="Z204" s="18">
        <f t="shared" si="110"/>
        <v>0</v>
      </c>
      <c r="AA204" s="18">
        <f t="shared" si="111"/>
        <v>0</v>
      </c>
      <c r="AB204" s="18">
        <f t="shared" si="112"/>
        <v>370.35430407822889</v>
      </c>
      <c r="AC204" s="19"/>
      <c r="AD204" s="20"/>
      <c r="AE204" s="15"/>
      <c r="AF204" s="21"/>
      <c r="AG204" s="21"/>
      <c r="AH204" s="21"/>
      <c r="AI204" s="21"/>
      <c r="AJ204" s="21"/>
      <c r="AK204" s="21"/>
      <c r="AL204" s="19"/>
      <c r="AM204" s="21"/>
      <c r="AN204" s="21"/>
      <c r="AO204" s="21"/>
      <c r="AP204" s="21"/>
      <c r="AQ204" s="21"/>
      <c r="AR204" s="21"/>
      <c r="AS204" s="21"/>
    </row>
    <row r="205" spans="1:86">
      <c r="C205" s="16" t="s">
        <v>35</v>
      </c>
      <c r="D205" s="17" t="s">
        <v>32</v>
      </c>
      <c r="E205" s="18">
        <v>230750.67849229774</v>
      </c>
      <c r="F205" s="18">
        <v>221434.36192432744</v>
      </c>
      <c r="G205" s="18">
        <v>215745.02826122378</v>
      </c>
      <c r="H205" s="18">
        <v>207413.69516953515</v>
      </c>
      <c r="I205" s="18">
        <v>216848.48895628663</v>
      </c>
      <c r="J205" s="18">
        <v>207812.86261731311</v>
      </c>
      <c r="L205" s="16" t="s">
        <v>35</v>
      </c>
      <c r="M205" s="17" t="s">
        <v>32</v>
      </c>
      <c r="N205" s="18">
        <v>6147.1622458335305</v>
      </c>
      <c r="O205" s="18">
        <v>5686.5602110582422</v>
      </c>
      <c r="P205" s="18">
        <v>5437.2541932300537</v>
      </c>
      <c r="Q205" s="18">
        <v>5196.7197246940086</v>
      </c>
      <c r="R205" s="18">
        <v>5183.9419466580184</v>
      </c>
      <c r="S205" s="18">
        <v>4828.6065386852952</v>
      </c>
      <c r="U205" s="16" t="s">
        <v>35</v>
      </c>
      <c r="V205" s="17" t="s">
        <v>32</v>
      </c>
      <c r="W205" s="18">
        <f t="shared" si="113"/>
        <v>236897.84073813126</v>
      </c>
      <c r="X205" s="18">
        <f t="shared" si="108"/>
        <v>227120.92213538568</v>
      </c>
      <c r="Y205" s="18">
        <f t="shared" si="109"/>
        <v>221182.28245445385</v>
      </c>
      <c r="Z205" s="18">
        <f t="shared" si="110"/>
        <v>212610.41489422915</v>
      </c>
      <c r="AA205" s="18">
        <f t="shared" si="111"/>
        <v>222032.43090294464</v>
      </c>
      <c r="AB205" s="18">
        <f t="shared" si="112"/>
        <v>212641.46915599841</v>
      </c>
      <c r="AC205" s="19"/>
      <c r="AD205" s="20"/>
      <c r="AE205" s="15"/>
      <c r="AF205" s="21"/>
      <c r="AG205" s="21"/>
      <c r="AH205" s="21"/>
      <c r="AI205" s="21"/>
      <c r="AJ205" s="21"/>
      <c r="AK205" s="21"/>
      <c r="AL205" s="19"/>
      <c r="AM205" s="21"/>
      <c r="AN205" s="21"/>
      <c r="AO205" s="21"/>
      <c r="AP205" s="21"/>
      <c r="AQ205" s="21"/>
      <c r="AR205" s="21"/>
      <c r="AS205" s="21"/>
    </row>
    <row r="206" spans="1:86">
      <c r="C206" s="16" t="s">
        <v>36</v>
      </c>
      <c r="D206" s="17" t="s">
        <v>32</v>
      </c>
      <c r="E206" s="18">
        <v>698.50037127076064</v>
      </c>
      <c r="F206" s="18">
        <v>798.49013593838436</v>
      </c>
      <c r="G206" s="18">
        <v>693.60226831036891</v>
      </c>
      <c r="H206" s="18">
        <v>820.74117610713256</v>
      </c>
      <c r="I206" s="18">
        <v>1005.0067647809556</v>
      </c>
      <c r="J206" s="18">
        <v>1116.6257244523695</v>
      </c>
      <c r="L206" s="16" t="s">
        <v>36</v>
      </c>
      <c r="M206" s="17" t="s">
        <v>32</v>
      </c>
      <c r="N206" s="18">
        <v>56.119033185324696</v>
      </c>
      <c r="O206" s="18">
        <v>53.214920326444599</v>
      </c>
      <c r="P206" s="18">
        <v>55.939186688372679</v>
      </c>
      <c r="Q206" s="18">
        <v>69.383980398829806</v>
      </c>
      <c r="R206" s="18">
        <v>70.952670690631862</v>
      </c>
      <c r="S206" s="18">
        <v>84.450124282304785</v>
      </c>
      <c r="U206" s="16" t="s">
        <v>36</v>
      </c>
      <c r="V206" s="17" t="s">
        <v>32</v>
      </c>
      <c r="W206" s="18">
        <f t="shared" si="113"/>
        <v>754.61940445608536</v>
      </c>
      <c r="X206" s="18">
        <f t="shared" si="108"/>
        <v>851.70505626482895</v>
      </c>
      <c r="Y206" s="18">
        <f t="shared" si="109"/>
        <v>749.54145499874164</v>
      </c>
      <c r="Z206" s="18">
        <f t="shared" si="110"/>
        <v>890.12515650596242</v>
      </c>
      <c r="AA206" s="18">
        <f t="shared" si="111"/>
        <v>1075.9594354715873</v>
      </c>
      <c r="AB206" s="18">
        <f t="shared" si="112"/>
        <v>1201.0758487346743</v>
      </c>
      <c r="AC206" s="19"/>
      <c r="AD206" s="20"/>
      <c r="AE206" s="15"/>
      <c r="AF206" s="21"/>
      <c r="AG206" s="21"/>
      <c r="AH206" s="21"/>
      <c r="AI206" s="21"/>
      <c r="AJ206" s="21"/>
      <c r="AK206" s="21"/>
      <c r="AL206" s="19"/>
      <c r="AM206" s="21"/>
      <c r="AN206" s="21"/>
      <c r="AO206" s="21"/>
      <c r="AP206" s="21"/>
      <c r="AQ206" s="21"/>
      <c r="AR206" s="21"/>
      <c r="AS206" s="21"/>
    </row>
    <row r="207" spans="1:86">
      <c r="C207" s="16" t="s">
        <v>37</v>
      </c>
      <c r="D207" s="17" t="s">
        <v>32</v>
      </c>
      <c r="E207" s="18">
        <v>0</v>
      </c>
      <c r="F207" s="18">
        <v>0</v>
      </c>
      <c r="G207" s="18">
        <v>0</v>
      </c>
      <c r="H207" s="18">
        <v>0</v>
      </c>
      <c r="I207" s="18">
        <v>0</v>
      </c>
      <c r="J207" s="18">
        <v>0</v>
      </c>
      <c r="L207" s="16" t="s">
        <v>37</v>
      </c>
      <c r="M207" s="17" t="s">
        <v>32</v>
      </c>
      <c r="N207" s="18">
        <v>0</v>
      </c>
      <c r="O207" s="18">
        <v>0</v>
      </c>
      <c r="P207" s="18">
        <v>0</v>
      </c>
      <c r="Q207" s="18">
        <v>0</v>
      </c>
      <c r="R207" s="18">
        <v>0</v>
      </c>
      <c r="S207" s="18">
        <v>0</v>
      </c>
      <c r="U207" s="16" t="s">
        <v>37</v>
      </c>
      <c r="V207" s="17" t="s">
        <v>32</v>
      </c>
      <c r="W207" s="18">
        <f t="shared" si="113"/>
        <v>0</v>
      </c>
      <c r="X207" s="18">
        <f t="shared" si="108"/>
        <v>0</v>
      </c>
      <c r="Y207" s="18">
        <f t="shared" si="109"/>
        <v>0</v>
      </c>
      <c r="Z207" s="18">
        <f t="shared" si="110"/>
        <v>0</v>
      </c>
      <c r="AA207" s="18">
        <f t="shared" si="111"/>
        <v>0</v>
      </c>
      <c r="AB207" s="18">
        <f t="shared" si="112"/>
        <v>0</v>
      </c>
      <c r="AC207" s="19"/>
      <c r="AD207" s="20"/>
      <c r="AE207" s="15"/>
      <c r="AF207" s="21"/>
      <c r="AG207" s="21"/>
      <c r="AH207" s="21"/>
      <c r="AI207" s="21"/>
      <c r="AJ207" s="21"/>
      <c r="AK207" s="21"/>
      <c r="AL207" s="19"/>
      <c r="AM207" s="21"/>
      <c r="AN207" s="21"/>
      <c r="AO207" s="21"/>
      <c r="AP207" s="21"/>
      <c r="AQ207" s="21"/>
      <c r="AR207" s="21"/>
      <c r="AS207" s="21"/>
    </row>
    <row r="208" spans="1:86">
      <c r="C208" s="16" t="s">
        <v>38</v>
      </c>
      <c r="D208" s="17" t="s">
        <v>32</v>
      </c>
      <c r="E208" s="18">
        <v>23081.797590944716</v>
      </c>
      <c r="F208" s="18">
        <v>22764.903427173071</v>
      </c>
      <c r="G208" s="18">
        <v>23069.520219118378</v>
      </c>
      <c r="H208" s="18">
        <v>23109.098449739296</v>
      </c>
      <c r="I208" s="18">
        <v>20602.557862207217</v>
      </c>
      <c r="J208" s="18">
        <v>23857.499103875984</v>
      </c>
      <c r="L208" s="16" t="s">
        <v>38</v>
      </c>
      <c r="M208" s="17" t="s">
        <v>32</v>
      </c>
      <c r="N208" s="18">
        <v>2065.4277142368956</v>
      </c>
      <c r="O208" s="18">
        <v>2004.2999586492131</v>
      </c>
      <c r="P208" s="18">
        <v>1921.0953893610867</v>
      </c>
      <c r="Q208" s="18">
        <v>1829.2877267698098</v>
      </c>
      <c r="R208" s="18">
        <v>1607.1585845703585</v>
      </c>
      <c r="S208" s="18">
        <v>1725.5743540955696</v>
      </c>
      <c r="U208" s="16" t="s">
        <v>38</v>
      </c>
      <c r="V208" s="17" t="s">
        <v>32</v>
      </c>
      <c r="W208" s="18">
        <f t="shared" si="113"/>
        <v>25147.225305181611</v>
      </c>
      <c r="X208" s="18">
        <f t="shared" si="108"/>
        <v>24769.203385822282</v>
      </c>
      <c r="Y208" s="18">
        <f t="shared" si="109"/>
        <v>24990.615608479464</v>
      </c>
      <c r="Z208" s="18">
        <f t="shared" si="110"/>
        <v>24938.386176509106</v>
      </c>
      <c r="AA208" s="18">
        <f t="shared" si="111"/>
        <v>22209.716446777576</v>
      </c>
      <c r="AB208" s="18">
        <f t="shared" si="112"/>
        <v>25583.073457971554</v>
      </c>
      <c r="AC208" s="19"/>
      <c r="AD208" s="20"/>
      <c r="AE208" s="15"/>
      <c r="AF208" s="21"/>
      <c r="AG208" s="21"/>
      <c r="AH208" s="21"/>
      <c r="AI208" s="21"/>
      <c r="AJ208" s="21"/>
      <c r="AK208" s="21"/>
      <c r="AL208" s="19"/>
      <c r="AM208" s="21"/>
      <c r="AN208" s="21"/>
      <c r="AO208" s="21"/>
      <c r="AP208" s="21"/>
      <c r="AQ208" s="21"/>
      <c r="AR208" s="21"/>
      <c r="AS208" s="21"/>
    </row>
    <row r="209" spans="1:86">
      <c r="C209" s="16" t="s">
        <v>39</v>
      </c>
      <c r="D209" s="17" t="s">
        <v>32</v>
      </c>
      <c r="E209" s="18">
        <v>0</v>
      </c>
      <c r="F209" s="18">
        <v>0</v>
      </c>
      <c r="G209" s="18">
        <v>0</v>
      </c>
      <c r="H209" s="18">
        <v>0</v>
      </c>
      <c r="I209" s="18">
        <v>0</v>
      </c>
      <c r="J209" s="18">
        <v>0</v>
      </c>
      <c r="L209" s="16" t="s">
        <v>39</v>
      </c>
      <c r="M209" s="17" t="s">
        <v>32</v>
      </c>
      <c r="N209" s="18">
        <v>0</v>
      </c>
      <c r="O209" s="18">
        <v>0</v>
      </c>
      <c r="P209" s="18">
        <v>0</v>
      </c>
      <c r="Q209" s="18">
        <v>0</v>
      </c>
      <c r="R209" s="18">
        <v>0</v>
      </c>
      <c r="S209" s="18">
        <v>0</v>
      </c>
      <c r="U209" s="16" t="s">
        <v>39</v>
      </c>
      <c r="V209" s="17" t="s">
        <v>32</v>
      </c>
      <c r="W209" s="18">
        <f t="shared" si="113"/>
        <v>0</v>
      </c>
      <c r="X209" s="18">
        <f t="shared" si="108"/>
        <v>0</v>
      </c>
      <c r="Y209" s="18">
        <f t="shared" si="109"/>
        <v>0</v>
      </c>
      <c r="Z209" s="18">
        <f t="shared" si="110"/>
        <v>0</v>
      </c>
      <c r="AA209" s="18">
        <f t="shared" si="111"/>
        <v>0</v>
      </c>
      <c r="AB209" s="18">
        <f t="shared" si="112"/>
        <v>0</v>
      </c>
      <c r="AC209" s="19"/>
      <c r="AD209" s="20"/>
      <c r="AE209" s="15"/>
      <c r="AF209" s="21"/>
      <c r="AG209" s="21"/>
      <c r="AH209" s="21"/>
      <c r="AI209" s="21"/>
      <c r="AJ209" s="21"/>
      <c r="AK209" s="21"/>
      <c r="AL209" s="19"/>
      <c r="AM209" s="21"/>
      <c r="AN209" s="21"/>
      <c r="AO209" s="21"/>
      <c r="AP209" s="21"/>
      <c r="AQ209" s="21"/>
      <c r="AR209" s="21"/>
      <c r="AS209" s="21"/>
    </row>
    <row r="210" spans="1:86">
      <c r="A210" s="22"/>
      <c r="C210" s="23" t="s">
        <v>40</v>
      </c>
      <c r="D210" s="17" t="s">
        <v>32</v>
      </c>
      <c r="E210" s="24">
        <v>294102.88561502087</v>
      </c>
      <c r="F210" s="24">
        <v>290677.99812962435</v>
      </c>
      <c r="G210" s="24">
        <v>286008.63308310689</v>
      </c>
      <c r="H210" s="24">
        <v>280029.57228760369</v>
      </c>
      <c r="I210" s="24">
        <v>287137.79846954619</v>
      </c>
      <c r="J210" s="24">
        <v>289351.88753048528</v>
      </c>
      <c r="L210" s="23" t="s">
        <v>40</v>
      </c>
      <c r="M210" s="17" t="s">
        <v>32</v>
      </c>
      <c r="N210" s="24">
        <v>9015.2510068706742</v>
      </c>
      <c r="O210" s="24">
        <v>8656.7160913212847</v>
      </c>
      <c r="P210" s="24">
        <v>8344.5674028713438</v>
      </c>
      <c r="Q210" s="24">
        <v>8027.3763125347195</v>
      </c>
      <c r="R210" s="24">
        <v>7788.0267116799196</v>
      </c>
      <c r="S210" s="24">
        <v>7686.866818721559</v>
      </c>
      <c r="U210" s="23" t="s">
        <v>40</v>
      </c>
      <c r="V210" s="17" t="s">
        <v>32</v>
      </c>
      <c r="W210" s="24">
        <f>SUM(W202:W209)</f>
        <v>303118.13662189158</v>
      </c>
      <c r="X210" s="24">
        <f t="shared" ref="X210:AB210" si="114">SUM(X202:X209)</f>
        <v>299334.71422094561</v>
      </c>
      <c r="Y210" s="24">
        <f t="shared" si="114"/>
        <v>294353.20048597816</v>
      </c>
      <c r="Z210" s="24">
        <f t="shared" si="114"/>
        <v>288056.94860013836</v>
      </c>
      <c r="AA210" s="24">
        <f t="shared" si="114"/>
        <v>294925.82518122607</v>
      </c>
      <c r="AB210" s="24">
        <f t="shared" si="114"/>
        <v>297038.75434920681</v>
      </c>
      <c r="AC210" s="25"/>
      <c r="AD210" s="26"/>
      <c r="AE210" s="15"/>
      <c r="AF210" s="27"/>
      <c r="AG210" s="27"/>
      <c r="AH210" s="27"/>
      <c r="AI210" s="27"/>
      <c r="AJ210" s="27"/>
      <c r="AK210" s="27"/>
      <c r="AL210" s="25"/>
      <c r="AM210" s="27"/>
      <c r="AN210" s="27"/>
      <c r="AO210" s="27"/>
      <c r="AP210" s="27"/>
      <c r="AQ210" s="27"/>
      <c r="AR210" s="27"/>
      <c r="AS210" s="27"/>
    </row>
    <row r="212" spans="1:86" ht="14.7" thickBot="1">
      <c r="C212" s="9" t="s">
        <v>2</v>
      </c>
      <c r="D212" s="9"/>
      <c r="E212" s="9"/>
      <c r="F212" s="9"/>
      <c r="G212" s="9"/>
      <c r="H212" s="9"/>
      <c r="I212" s="9"/>
      <c r="J212" s="9"/>
      <c r="L212" s="9" t="s">
        <v>2</v>
      </c>
      <c r="M212" s="9"/>
      <c r="N212" s="9"/>
      <c r="O212" s="9"/>
      <c r="P212" s="9"/>
      <c r="Q212" s="9"/>
      <c r="R212" s="9"/>
      <c r="S212" s="9"/>
      <c r="U212" s="9" t="str">
        <f>L212</f>
        <v>Cobalt</v>
      </c>
      <c r="V212" s="9"/>
      <c r="W212" s="9"/>
      <c r="X212" s="9"/>
      <c r="Y212" s="9"/>
      <c r="Z212" s="9"/>
      <c r="AA212" s="9"/>
      <c r="AB212" s="9"/>
      <c r="AC212" s="8"/>
      <c r="AD212" s="10"/>
      <c r="AE212" s="10"/>
      <c r="AF212" s="10"/>
      <c r="AG212" s="10"/>
      <c r="AH212" s="10"/>
      <c r="AI212" s="10"/>
      <c r="AJ212" s="10"/>
      <c r="AK212" s="10"/>
      <c r="AL212" s="8"/>
      <c r="AM212" s="10"/>
      <c r="AN212" s="10"/>
      <c r="AO212" s="10"/>
      <c r="AP212" s="10"/>
      <c r="AQ212" s="10"/>
      <c r="AR212" s="10"/>
      <c r="AS212" s="10"/>
    </row>
    <row r="213" spans="1:86" s="15" customFormat="1">
      <c r="A213" s="11"/>
      <c r="B213" s="11"/>
      <c r="C213" s="60"/>
      <c r="D213" s="60" t="s">
        <v>11</v>
      </c>
      <c r="E213" s="61">
        <v>2020</v>
      </c>
      <c r="F213" s="61">
        <v>2021</v>
      </c>
      <c r="G213" s="61">
        <v>2022</v>
      </c>
      <c r="H213" s="61">
        <v>2023</v>
      </c>
      <c r="I213" s="61">
        <v>2024</v>
      </c>
      <c r="J213" s="61">
        <v>2025</v>
      </c>
      <c r="K213" s="11"/>
      <c r="L213" s="60"/>
      <c r="M213" s="60" t="s">
        <v>11</v>
      </c>
      <c r="N213" s="61">
        <v>2020</v>
      </c>
      <c r="O213" s="61">
        <v>2021</v>
      </c>
      <c r="P213" s="61">
        <v>2022</v>
      </c>
      <c r="Q213" s="61">
        <v>2023</v>
      </c>
      <c r="R213" s="61">
        <v>2024</v>
      </c>
      <c r="S213" s="61">
        <v>2025</v>
      </c>
      <c r="T213" s="11"/>
      <c r="U213" s="60"/>
      <c r="V213" s="60" t="s">
        <v>11</v>
      </c>
      <c r="W213" s="61">
        <v>2020</v>
      </c>
      <c r="X213" s="61">
        <v>2021</v>
      </c>
      <c r="Y213" s="61">
        <v>2022</v>
      </c>
      <c r="Z213" s="61">
        <v>2023</v>
      </c>
      <c r="AA213" s="61">
        <v>2024</v>
      </c>
      <c r="AB213" s="61">
        <v>2025</v>
      </c>
      <c r="AC213" s="12"/>
      <c r="AD213" s="11"/>
      <c r="AE213" s="11"/>
      <c r="AF213" s="13"/>
      <c r="AG213" s="13"/>
      <c r="AH213" s="13"/>
      <c r="AI213" s="13"/>
      <c r="AJ213" s="13"/>
      <c r="AK213" s="13"/>
      <c r="AL213" s="12"/>
      <c r="AM213" s="13"/>
      <c r="AN213" s="13"/>
      <c r="AO213" s="13"/>
      <c r="AP213" s="13"/>
      <c r="AQ213" s="13"/>
      <c r="AR213" s="13"/>
      <c r="AS213" s="13"/>
      <c r="AT213" s="11"/>
      <c r="AU213" s="11"/>
      <c r="AV213" s="11"/>
      <c r="AW213" s="11"/>
      <c r="AX213" s="11"/>
      <c r="AY213" s="11"/>
      <c r="AZ213" s="11"/>
      <c r="BA213" s="11"/>
      <c r="BB213" s="11"/>
      <c r="BC213" s="11"/>
      <c r="BD213" s="14"/>
      <c r="BE213" s="11"/>
      <c r="BF213" s="11"/>
      <c r="BG213" s="11"/>
      <c r="BH213" s="11"/>
      <c r="BI213" s="11"/>
      <c r="BJ213" s="11"/>
      <c r="BK213" s="11"/>
      <c r="BL213" s="11"/>
      <c r="BM213" s="11"/>
      <c r="BN213" s="11"/>
      <c r="BO213" s="11"/>
      <c r="BP213" s="11"/>
      <c r="BQ213" s="11"/>
      <c r="BR213" s="11"/>
      <c r="BS213" s="11"/>
      <c r="BT213" s="11"/>
      <c r="BU213" s="11"/>
      <c r="BV213" s="11"/>
      <c r="BW213" s="11"/>
      <c r="BX213" s="11"/>
      <c r="BY213" s="11"/>
      <c r="BZ213" s="11"/>
      <c r="CA213" s="11"/>
      <c r="CB213" s="11"/>
      <c r="CC213" s="11"/>
      <c r="CD213" s="11"/>
      <c r="CE213" s="11"/>
      <c r="CF213" s="11"/>
      <c r="CG213" s="11"/>
      <c r="CH213" s="11"/>
    </row>
    <row r="214" spans="1:86">
      <c r="A214" s="11"/>
      <c r="B214" s="11"/>
      <c r="C214" s="16" t="s">
        <v>31</v>
      </c>
      <c r="D214" s="17" t="s">
        <v>32</v>
      </c>
      <c r="E214" s="18">
        <v>10.34703369590509</v>
      </c>
      <c r="F214" s="18">
        <v>11.006694852994329</v>
      </c>
      <c r="G214" s="18">
        <v>18.820789881145998</v>
      </c>
      <c r="H214" s="18">
        <v>17.06135969652064</v>
      </c>
      <c r="I214" s="18">
        <v>10.262970682605884</v>
      </c>
      <c r="J214" s="18">
        <v>13.270065592231258</v>
      </c>
      <c r="K214" s="11"/>
      <c r="L214" s="16" t="s">
        <v>31</v>
      </c>
      <c r="M214" s="17" t="s">
        <v>32</v>
      </c>
      <c r="N214" s="18">
        <v>3.7279451988865238</v>
      </c>
      <c r="O214" s="18">
        <v>3.5850691927877123</v>
      </c>
      <c r="P214" s="18">
        <v>5.400521264884242</v>
      </c>
      <c r="Q214" s="18">
        <v>4.6615590355131378</v>
      </c>
      <c r="R214" s="18">
        <v>2.8904311899075985</v>
      </c>
      <c r="S214" s="18">
        <v>3.2588874677289779</v>
      </c>
      <c r="T214" s="11"/>
      <c r="U214" s="16" t="s">
        <v>31</v>
      </c>
      <c r="V214" s="17" t="s">
        <v>32</v>
      </c>
      <c r="W214" s="18">
        <f>E214+N214</f>
        <v>14.074978894791613</v>
      </c>
      <c r="X214" s="18">
        <f t="shared" ref="X214:X221" si="115">F214+O214</f>
        <v>14.591764045782041</v>
      </c>
      <c r="Y214" s="18">
        <f t="shared" ref="Y214:Y221" si="116">G214+P214</f>
        <v>24.221311146030239</v>
      </c>
      <c r="Z214" s="18">
        <f t="shared" ref="Z214:Z221" si="117">H214+Q214</f>
        <v>21.722918732033776</v>
      </c>
      <c r="AA214" s="18">
        <f t="shared" ref="AA214:AA221" si="118">I214+R214</f>
        <v>13.153401872513482</v>
      </c>
      <c r="AB214" s="18">
        <f t="shared" ref="AB214:AB221" si="119">J214+S214</f>
        <v>16.528953059960237</v>
      </c>
      <c r="AC214" s="19"/>
      <c r="AD214" s="20"/>
      <c r="AE214" s="15"/>
      <c r="AF214" s="21"/>
      <c r="AG214" s="21"/>
      <c r="AH214" s="21"/>
      <c r="AI214" s="21"/>
      <c r="AJ214" s="21"/>
      <c r="AK214" s="21"/>
      <c r="AL214" s="19"/>
      <c r="AM214" s="21"/>
      <c r="AN214" s="21"/>
      <c r="AO214" s="21"/>
      <c r="AP214" s="21"/>
      <c r="AQ214" s="21"/>
      <c r="AR214" s="21"/>
      <c r="AS214" s="21"/>
      <c r="AT214" s="11"/>
      <c r="AU214" s="11"/>
      <c r="AV214" s="11"/>
      <c r="AW214" s="11"/>
      <c r="AX214" s="11"/>
      <c r="AY214" s="11"/>
      <c r="AZ214" s="11"/>
      <c r="BA214" s="11"/>
      <c r="BB214" s="11"/>
      <c r="BC214" s="11"/>
      <c r="BD214" s="14"/>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c r="CD214" s="11"/>
      <c r="CE214" s="11"/>
      <c r="CF214" s="11"/>
      <c r="CG214" s="11"/>
      <c r="CH214" s="11"/>
    </row>
    <row r="215" spans="1:86">
      <c r="C215" s="16" t="s">
        <v>33</v>
      </c>
      <c r="D215" s="17" t="s">
        <v>32</v>
      </c>
      <c r="E215" s="18">
        <v>29.136619268642633</v>
      </c>
      <c r="F215" s="18">
        <v>23.294839497914069</v>
      </c>
      <c r="G215" s="18">
        <v>39.334285355581883</v>
      </c>
      <c r="H215" s="18">
        <v>54.978534115369541</v>
      </c>
      <c r="I215" s="18">
        <v>30.380074001490094</v>
      </c>
      <c r="J215" s="18">
        <v>31.359679856656172</v>
      </c>
      <c r="L215" s="16" t="s">
        <v>33</v>
      </c>
      <c r="M215" s="17" t="s">
        <v>32</v>
      </c>
      <c r="N215" s="18">
        <v>0</v>
      </c>
      <c r="O215" s="18">
        <v>0</v>
      </c>
      <c r="P215" s="18">
        <v>0</v>
      </c>
      <c r="Q215" s="18">
        <v>0</v>
      </c>
      <c r="R215" s="18">
        <v>0</v>
      </c>
      <c r="S215" s="18">
        <v>0</v>
      </c>
      <c r="U215" s="16" t="s">
        <v>33</v>
      </c>
      <c r="V215" s="17" t="s">
        <v>32</v>
      </c>
      <c r="W215" s="18">
        <f t="shared" ref="W215:W221" si="120">E215+N215</f>
        <v>29.136619268642633</v>
      </c>
      <c r="X215" s="18">
        <f t="shared" si="115"/>
        <v>23.294839497914069</v>
      </c>
      <c r="Y215" s="18">
        <f t="shared" si="116"/>
        <v>39.334285355581883</v>
      </c>
      <c r="Z215" s="18">
        <f t="shared" si="117"/>
        <v>54.978534115369541</v>
      </c>
      <c r="AA215" s="18">
        <f t="shared" si="118"/>
        <v>30.380074001490094</v>
      </c>
      <c r="AB215" s="18">
        <f t="shared" si="119"/>
        <v>31.359679856656172</v>
      </c>
      <c r="AC215" s="19"/>
      <c r="AD215" s="20"/>
      <c r="AE215" s="15"/>
      <c r="AF215" s="21"/>
      <c r="AG215" s="21"/>
      <c r="AH215" s="21"/>
      <c r="AI215" s="21"/>
      <c r="AJ215" s="21"/>
      <c r="AK215" s="21"/>
      <c r="AL215" s="19"/>
      <c r="AM215" s="21"/>
      <c r="AN215" s="21"/>
      <c r="AO215" s="21"/>
      <c r="AP215" s="21"/>
      <c r="AQ215" s="21"/>
      <c r="AR215" s="21"/>
      <c r="AS215" s="21"/>
    </row>
    <row r="216" spans="1:86">
      <c r="C216" s="16" t="s">
        <v>34</v>
      </c>
      <c r="D216" s="17" t="s">
        <v>32</v>
      </c>
      <c r="E216" s="18">
        <v>135.20388724110705</v>
      </c>
      <c r="F216" s="18">
        <v>125.79397465613076</v>
      </c>
      <c r="G216" s="18">
        <v>128.16898882977847</v>
      </c>
      <c r="H216" s="18">
        <v>125.37549058064023</v>
      </c>
      <c r="I216" s="18">
        <v>136.75418161523922</v>
      </c>
      <c r="J216" s="18">
        <v>134.80360169228686</v>
      </c>
      <c r="L216" s="16" t="s">
        <v>34</v>
      </c>
      <c r="M216" s="17" t="s">
        <v>32</v>
      </c>
      <c r="N216" s="18">
        <v>15.997806711271831</v>
      </c>
      <c r="O216" s="18">
        <v>15.297816457382934</v>
      </c>
      <c r="P216" s="18">
        <v>15.634532778067275</v>
      </c>
      <c r="Q216" s="18">
        <v>15.067617070119859</v>
      </c>
      <c r="R216" s="18">
        <v>15.141877272051254</v>
      </c>
      <c r="S216" s="18">
        <v>14.782569897639711</v>
      </c>
      <c r="U216" s="16" t="s">
        <v>34</v>
      </c>
      <c r="V216" s="17" t="s">
        <v>32</v>
      </c>
      <c r="W216" s="18">
        <f t="shared" si="120"/>
        <v>151.20169395237889</v>
      </c>
      <c r="X216" s="18">
        <f t="shared" si="115"/>
        <v>141.09179111351369</v>
      </c>
      <c r="Y216" s="18">
        <f t="shared" si="116"/>
        <v>143.80352160784574</v>
      </c>
      <c r="Z216" s="18">
        <f t="shared" si="117"/>
        <v>140.44310765076008</v>
      </c>
      <c r="AA216" s="18">
        <f t="shared" si="118"/>
        <v>151.89605888729048</v>
      </c>
      <c r="AB216" s="18">
        <f t="shared" si="119"/>
        <v>149.58617158992658</v>
      </c>
      <c r="AC216" s="19"/>
      <c r="AD216" s="20"/>
      <c r="AE216" s="15"/>
      <c r="AF216" s="21"/>
      <c r="AG216" s="21"/>
      <c r="AH216" s="21"/>
      <c r="AI216" s="21"/>
      <c r="AJ216" s="21"/>
      <c r="AK216" s="21"/>
      <c r="AL216" s="19"/>
      <c r="AM216" s="21"/>
      <c r="AN216" s="21"/>
      <c r="AO216" s="21"/>
      <c r="AP216" s="21"/>
      <c r="AQ216" s="21"/>
      <c r="AR216" s="21"/>
      <c r="AS216" s="21"/>
    </row>
    <row r="217" spans="1:86">
      <c r="C217" s="16" t="s">
        <v>35</v>
      </c>
      <c r="D217" s="17" t="s">
        <v>32</v>
      </c>
      <c r="E217" s="18">
        <v>47.463185863929354</v>
      </c>
      <c r="F217" s="18">
        <v>53.616468903284314</v>
      </c>
      <c r="G217" s="18">
        <v>102.25322626402087</v>
      </c>
      <c r="H217" s="18">
        <v>133.11397496078499</v>
      </c>
      <c r="I217" s="18">
        <v>154.19622007010801</v>
      </c>
      <c r="J217" s="18">
        <v>213.78330530062047</v>
      </c>
      <c r="L217" s="16" t="s">
        <v>35</v>
      </c>
      <c r="M217" s="17" t="s">
        <v>32</v>
      </c>
      <c r="N217" s="18">
        <v>83.582777732411586</v>
      </c>
      <c r="O217" s="18">
        <v>87.870519317601662</v>
      </c>
      <c r="P217" s="18">
        <v>105.7402442947964</v>
      </c>
      <c r="Q217" s="18">
        <v>104.16697337508634</v>
      </c>
      <c r="R217" s="18">
        <v>103.02104790902931</v>
      </c>
      <c r="S217" s="18">
        <v>129.29925246718366</v>
      </c>
      <c r="U217" s="16" t="s">
        <v>35</v>
      </c>
      <c r="V217" s="17" t="s">
        <v>32</v>
      </c>
      <c r="W217" s="18">
        <f t="shared" si="120"/>
        <v>131.04596359634093</v>
      </c>
      <c r="X217" s="18">
        <f t="shared" si="115"/>
        <v>141.48698822088596</v>
      </c>
      <c r="Y217" s="18">
        <f t="shared" si="116"/>
        <v>207.99347055881725</v>
      </c>
      <c r="Z217" s="18">
        <f t="shared" si="117"/>
        <v>237.28094833587133</v>
      </c>
      <c r="AA217" s="18">
        <f t="shared" si="118"/>
        <v>257.21726797913732</v>
      </c>
      <c r="AB217" s="18">
        <f t="shared" si="119"/>
        <v>343.08255776780413</v>
      </c>
      <c r="AC217" s="19"/>
      <c r="AD217" s="20"/>
      <c r="AE217" s="15"/>
      <c r="AF217" s="21"/>
      <c r="AG217" s="21"/>
      <c r="AH217" s="21"/>
      <c r="AI217" s="21"/>
      <c r="AJ217" s="21"/>
      <c r="AK217" s="21"/>
      <c r="AL217" s="19"/>
      <c r="AM217" s="21"/>
      <c r="AN217" s="21"/>
      <c r="AO217" s="21"/>
      <c r="AP217" s="21"/>
      <c r="AQ217" s="21"/>
      <c r="AR217" s="21"/>
      <c r="AS217" s="21"/>
    </row>
    <row r="218" spans="1:86">
      <c r="C218" s="16" t="s">
        <v>36</v>
      </c>
      <c r="D218" s="17" t="s">
        <v>32</v>
      </c>
      <c r="E218" s="18">
        <v>183.66451519135819</v>
      </c>
      <c r="F218" s="18">
        <v>397.27534179632772</v>
      </c>
      <c r="G218" s="18">
        <v>482.04398991932851</v>
      </c>
      <c r="H218" s="18">
        <v>660.41794111750221</v>
      </c>
      <c r="I218" s="18">
        <v>502.10222197753706</v>
      </c>
      <c r="J218" s="18">
        <v>621.10946213056184</v>
      </c>
      <c r="L218" s="16" t="s">
        <v>36</v>
      </c>
      <c r="M218" s="17" t="s">
        <v>32</v>
      </c>
      <c r="N218" s="18">
        <v>117.32107924901067</v>
      </c>
      <c r="O218" s="18">
        <v>112.12233226258452</v>
      </c>
      <c r="P218" s="18">
        <v>174.27815500250387</v>
      </c>
      <c r="Q218" s="18">
        <v>199.07914233385503</v>
      </c>
      <c r="R218" s="18">
        <v>279.35125113600782</v>
      </c>
      <c r="S218" s="18">
        <v>279.95992515071106</v>
      </c>
      <c r="U218" s="16" t="s">
        <v>36</v>
      </c>
      <c r="V218" s="17" t="s">
        <v>32</v>
      </c>
      <c r="W218" s="18">
        <f t="shared" si="120"/>
        <v>300.98559444036886</v>
      </c>
      <c r="X218" s="18">
        <f t="shared" si="115"/>
        <v>509.39767405891223</v>
      </c>
      <c r="Y218" s="18">
        <f t="shared" si="116"/>
        <v>656.32214492183243</v>
      </c>
      <c r="Z218" s="18">
        <f t="shared" si="117"/>
        <v>859.49708345135718</v>
      </c>
      <c r="AA218" s="18">
        <f t="shared" si="118"/>
        <v>781.45347311354487</v>
      </c>
      <c r="AB218" s="18">
        <f t="shared" si="119"/>
        <v>901.06938728127284</v>
      </c>
      <c r="AC218" s="19"/>
      <c r="AD218" s="20"/>
      <c r="AE218" s="15"/>
      <c r="AF218" s="21"/>
      <c r="AG218" s="21"/>
      <c r="AH218" s="21"/>
      <c r="AI218" s="21"/>
      <c r="AJ218" s="21"/>
      <c r="AK218" s="21"/>
      <c r="AL218" s="19"/>
      <c r="AM218" s="21"/>
      <c r="AN218" s="21"/>
      <c r="AO218" s="21"/>
      <c r="AP218" s="21"/>
      <c r="AQ218" s="21"/>
      <c r="AR218" s="21"/>
      <c r="AS218" s="21"/>
    </row>
    <row r="219" spans="1:86">
      <c r="C219" s="16" t="s">
        <v>37</v>
      </c>
      <c r="D219" s="17" t="s">
        <v>32</v>
      </c>
      <c r="E219" s="18">
        <v>3.385809692429012</v>
      </c>
      <c r="F219" s="18">
        <v>3.5201431549861009</v>
      </c>
      <c r="G219" s="18">
        <v>4.1592444921553398</v>
      </c>
      <c r="H219" s="18">
        <v>4.3044761470334931</v>
      </c>
      <c r="I219" s="18">
        <v>3.8143370437702648</v>
      </c>
      <c r="J219" s="18">
        <v>3.4741850583967819</v>
      </c>
      <c r="L219" s="16" t="s">
        <v>37</v>
      </c>
      <c r="M219" s="17" t="s">
        <v>32</v>
      </c>
      <c r="N219" s="18">
        <v>3.6100225103798458</v>
      </c>
      <c r="O219" s="18">
        <v>3.7990985532848209</v>
      </c>
      <c r="P219" s="18">
        <v>4.2518021671226922</v>
      </c>
      <c r="Q219" s="18">
        <v>4.317613865645419</v>
      </c>
      <c r="R219" s="18">
        <v>3.9903315089021589</v>
      </c>
      <c r="S219" s="18">
        <v>3.8895712967074534</v>
      </c>
      <c r="U219" s="16" t="s">
        <v>37</v>
      </c>
      <c r="V219" s="17" t="s">
        <v>32</v>
      </c>
      <c r="W219" s="18">
        <f t="shared" si="120"/>
        <v>6.9958322028088578</v>
      </c>
      <c r="X219" s="18">
        <f t="shared" si="115"/>
        <v>7.3192417082709218</v>
      </c>
      <c r="Y219" s="18">
        <f t="shared" si="116"/>
        <v>8.411046659278032</v>
      </c>
      <c r="Z219" s="18">
        <f t="shared" si="117"/>
        <v>8.6220900126789122</v>
      </c>
      <c r="AA219" s="18">
        <f t="shared" si="118"/>
        <v>7.8046685526724238</v>
      </c>
      <c r="AB219" s="18">
        <f t="shared" si="119"/>
        <v>7.3637563551042353</v>
      </c>
      <c r="AC219" s="19"/>
      <c r="AD219" s="20"/>
      <c r="AE219" s="15"/>
      <c r="AF219" s="21"/>
      <c r="AG219" s="21"/>
      <c r="AH219" s="21"/>
      <c r="AI219" s="21"/>
      <c r="AJ219" s="21"/>
      <c r="AK219" s="21"/>
      <c r="AL219" s="19"/>
      <c r="AM219" s="21"/>
      <c r="AN219" s="21"/>
      <c r="AO219" s="21"/>
      <c r="AP219" s="21"/>
      <c r="AQ219" s="21"/>
      <c r="AR219" s="21"/>
      <c r="AS219" s="21"/>
    </row>
    <row r="220" spans="1:86">
      <c r="C220" s="16" t="s">
        <v>38</v>
      </c>
      <c r="D220" s="17" t="s">
        <v>32</v>
      </c>
      <c r="E220" s="18">
        <v>121.215696878963</v>
      </c>
      <c r="F220" s="18">
        <v>108.91998289157127</v>
      </c>
      <c r="G220" s="18">
        <v>118.23115840369601</v>
      </c>
      <c r="H220" s="18">
        <v>113.69195774207455</v>
      </c>
      <c r="I220" s="18">
        <v>96.866741116292388</v>
      </c>
      <c r="J220" s="18">
        <v>87.165565799086366</v>
      </c>
      <c r="L220" s="16" t="s">
        <v>38</v>
      </c>
      <c r="M220" s="17" t="s">
        <v>32</v>
      </c>
      <c r="N220" s="18">
        <v>3.1368768808108523</v>
      </c>
      <c r="O220" s="18">
        <v>2.7523766485486134</v>
      </c>
      <c r="P220" s="18">
        <v>3.5488742573876069</v>
      </c>
      <c r="Q220" s="18">
        <v>4.2187566485041117</v>
      </c>
      <c r="R220" s="18">
        <v>2.0157490502630866</v>
      </c>
      <c r="S220" s="18">
        <v>2.1397349220364634</v>
      </c>
      <c r="U220" s="16" t="s">
        <v>38</v>
      </c>
      <c r="V220" s="17" t="s">
        <v>32</v>
      </c>
      <c r="W220" s="18">
        <f t="shared" si="120"/>
        <v>124.35257375977385</v>
      </c>
      <c r="X220" s="18">
        <f t="shared" si="115"/>
        <v>111.67235954011988</v>
      </c>
      <c r="Y220" s="18">
        <f t="shared" si="116"/>
        <v>121.78003266108362</v>
      </c>
      <c r="Z220" s="18">
        <f t="shared" si="117"/>
        <v>117.91071439057866</v>
      </c>
      <c r="AA220" s="18">
        <f t="shared" si="118"/>
        <v>98.882490166555471</v>
      </c>
      <c r="AB220" s="18">
        <f t="shared" si="119"/>
        <v>89.305300721122833</v>
      </c>
      <c r="AC220" s="19"/>
      <c r="AD220" s="20"/>
      <c r="AE220" s="15"/>
      <c r="AF220" s="21"/>
      <c r="AG220" s="21"/>
      <c r="AH220" s="21"/>
      <c r="AI220" s="21"/>
      <c r="AJ220" s="21"/>
      <c r="AK220" s="21"/>
      <c r="AL220" s="19"/>
      <c r="AM220" s="21"/>
      <c r="AN220" s="21"/>
      <c r="AO220" s="21"/>
      <c r="AP220" s="21"/>
      <c r="AQ220" s="21"/>
      <c r="AR220" s="21"/>
      <c r="AS220" s="21"/>
    </row>
    <row r="221" spans="1:86">
      <c r="C221" s="16" t="s">
        <v>39</v>
      </c>
      <c r="D221" s="17" t="s">
        <v>32</v>
      </c>
      <c r="E221" s="18">
        <v>0</v>
      </c>
      <c r="F221" s="18">
        <v>0</v>
      </c>
      <c r="G221" s="18">
        <v>0</v>
      </c>
      <c r="H221" s="18">
        <v>0</v>
      </c>
      <c r="I221" s="18">
        <v>0</v>
      </c>
      <c r="J221" s="18">
        <v>0</v>
      </c>
      <c r="L221" s="16" t="s">
        <v>39</v>
      </c>
      <c r="M221" s="17" t="s">
        <v>32</v>
      </c>
      <c r="N221" s="18">
        <v>0</v>
      </c>
      <c r="O221" s="18">
        <v>0</v>
      </c>
      <c r="P221" s="18">
        <v>0</v>
      </c>
      <c r="Q221" s="18">
        <v>0</v>
      </c>
      <c r="R221" s="18">
        <v>0</v>
      </c>
      <c r="S221" s="18">
        <v>0</v>
      </c>
      <c r="U221" s="16" t="s">
        <v>39</v>
      </c>
      <c r="V221" s="17" t="s">
        <v>32</v>
      </c>
      <c r="W221" s="18">
        <f t="shared" si="120"/>
        <v>0</v>
      </c>
      <c r="X221" s="18">
        <f t="shared" si="115"/>
        <v>0</v>
      </c>
      <c r="Y221" s="18">
        <f t="shared" si="116"/>
        <v>0</v>
      </c>
      <c r="Z221" s="18">
        <f t="shared" si="117"/>
        <v>0</v>
      </c>
      <c r="AA221" s="18">
        <f t="shared" si="118"/>
        <v>0</v>
      </c>
      <c r="AB221" s="18">
        <f t="shared" si="119"/>
        <v>0</v>
      </c>
      <c r="AC221" s="19"/>
      <c r="AD221" s="20"/>
      <c r="AE221" s="15"/>
      <c r="AF221" s="21"/>
      <c r="AG221" s="21"/>
      <c r="AH221" s="21"/>
      <c r="AI221" s="21"/>
      <c r="AJ221" s="21"/>
      <c r="AK221" s="21"/>
      <c r="AL221" s="19"/>
      <c r="AM221" s="21"/>
      <c r="AN221" s="21"/>
      <c r="AO221" s="21"/>
      <c r="AP221" s="21"/>
      <c r="AQ221" s="21"/>
      <c r="AR221" s="21"/>
      <c r="AS221" s="21"/>
    </row>
    <row r="222" spans="1:86">
      <c r="A222" s="22"/>
      <c r="C222" s="23" t="s">
        <v>40</v>
      </c>
      <c r="D222" s="17" t="s">
        <v>32</v>
      </c>
      <c r="E222" s="24">
        <v>530.41674783233429</v>
      </c>
      <c r="F222" s="24">
        <v>723.42744575320853</v>
      </c>
      <c r="G222" s="24">
        <v>893.01168314570714</v>
      </c>
      <c r="H222" s="24">
        <v>1108.9437343599261</v>
      </c>
      <c r="I222" s="24">
        <v>934.37674650704332</v>
      </c>
      <c r="J222" s="24">
        <v>1104.9658654298396</v>
      </c>
      <c r="L222" s="23" t="s">
        <v>40</v>
      </c>
      <c r="M222" s="17" t="s">
        <v>32</v>
      </c>
      <c r="N222" s="24">
        <v>227.37650828277131</v>
      </c>
      <c r="O222" s="24">
        <v>225.42721243219026</v>
      </c>
      <c r="P222" s="24">
        <v>308.85412976476209</v>
      </c>
      <c r="Q222" s="24">
        <v>331.51166232872384</v>
      </c>
      <c r="R222" s="24">
        <v>406.41068806616119</v>
      </c>
      <c r="S222" s="24">
        <v>433.32994120200732</v>
      </c>
      <c r="U222" s="23" t="s">
        <v>40</v>
      </c>
      <c r="V222" s="17" t="s">
        <v>32</v>
      </c>
      <c r="W222" s="24">
        <f>SUM(W214:W221)</f>
        <v>757.79325611510558</v>
      </c>
      <c r="X222" s="24">
        <f t="shared" ref="X222:AB222" si="121">SUM(X214:X221)</f>
        <v>948.85465818539888</v>
      </c>
      <c r="Y222" s="24">
        <f t="shared" si="121"/>
        <v>1201.8658129104692</v>
      </c>
      <c r="Z222" s="24">
        <f t="shared" si="121"/>
        <v>1440.4553966886497</v>
      </c>
      <c r="AA222" s="24">
        <f t="shared" si="121"/>
        <v>1340.7874345732041</v>
      </c>
      <c r="AB222" s="24">
        <f t="shared" si="121"/>
        <v>1538.295806631847</v>
      </c>
      <c r="AC222" s="25"/>
      <c r="AD222" s="26"/>
      <c r="AE222" s="15"/>
      <c r="AF222" s="27"/>
      <c r="AG222" s="27"/>
      <c r="AH222" s="27"/>
      <c r="AI222" s="27"/>
      <c r="AJ222" s="27"/>
      <c r="AK222" s="27"/>
      <c r="AL222" s="25"/>
      <c r="AM222" s="27"/>
      <c r="AN222" s="27"/>
      <c r="AO222" s="27"/>
      <c r="AP222" s="27"/>
      <c r="AQ222" s="27"/>
      <c r="AR222" s="27"/>
      <c r="AS222" s="27"/>
    </row>
    <row r="224" spans="1:86">
      <c r="C224" s="9" t="s">
        <v>46</v>
      </c>
      <c r="D224" s="9"/>
      <c r="E224" s="9"/>
      <c r="F224" s="9"/>
      <c r="G224" s="9"/>
      <c r="H224" s="9"/>
      <c r="I224" s="9"/>
      <c r="J224" s="9"/>
      <c r="L224" s="9" t="s">
        <v>46</v>
      </c>
      <c r="M224" s="9"/>
      <c r="N224" s="9"/>
      <c r="O224" s="9"/>
      <c r="P224" s="9"/>
      <c r="Q224" s="9"/>
      <c r="R224" s="9"/>
      <c r="S224" s="9"/>
      <c r="U224" s="9" t="str">
        <f>L224</f>
        <v>Platinum Group Metals</v>
      </c>
      <c r="V224" s="9"/>
      <c r="W224" s="9"/>
      <c r="X224" s="9"/>
      <c r="Y224" s="9"/>
      <c r="Z224" s="9"/>
      <c r="AA224" s="9"/>
      <c r="AB224" s="9"/>
      <c r="AC224" s="8"/>
      <c r="AD224" s="10"/>
      <c r="AE224" s="10"/>
      <c r="AF224" s="10"/>
      <c r="AG224" s="10"/>
      <c r="AH224" s="10"/>
      <c r="AI224" s="10"/>
      <c r="AJ224" s="10"/>
      <c r="AK224" s="10"/>
      <c r="AL224" s="8"/>
      <c r="AM224" s="10"/>
      <c r="AN224" s="10"/>
      <c r="AO224" s="10"/>
      <c r="AP224" s="10"/>
      <c r="AQ224" s="10"/>
      <c r="AR224" s="10"/>
      <c r="AS224" s="10"/>
    </row>
    <row r="225" spans="1:86" s="15" customFormat="1">
      <c r="A225" s="11"/>
      <c r="B225" s="11"/>
      <c r="C225" s="60"/>
      <c r="D225" s="60" t="s">
        <v>11</v>
      </c>
      <c r="E225" s="61">
        <v>2020</v>
      </c>
      <c r="F225" s="61">
        <v>2021</v>
      </c>
      <c r="G225" s="61">
        <v>2022</v>
      </c>
      <c r="H225" s="61">
        <v>2023</v>
      </c>
      <c r="I225" s="61">
        <v>2024</v>
      </c>
      <c r="J225" s="61">
        <v>2025</v>
      </c>
      <c r="K225" s="11"/>
      <c r="L225" s="60"/>
      <c r="M225" s="60" t="s">
        <v>11</v>
      </c>
      <c r="N225" s="61">
        <v>2020</v>
      </c>
      <c r="O225" s="61">
        <v>2021</v>
      </c>
      <c r="P225" s="61">
        <v>2022</v>
      </c>
      <c r="Q225" s="61">
        <v>2023</v>
      </c>
      <c r="R225" s="61">
        <v>2024</v>
      </c>
      <c r="S225" s="61">
        <v>2025</v>
      </c>
      <c r="T225" s="64"/>
      <c r="U225" s="60"/>
      <c r="V225" s="60" t="s">
        <v>11</v>
      </c>
      <c r="W225" s="61">
        <v>2020</v>
      </c>
      <c r="X225" s="61">
        <v>2021</v>
      </c>
      <c r="Y225" s="61">
        <v>2022</v>
      </c>
      <c r="Z225" s="61">
        <v>2023</v>
      </c>
      <c r="AA225" s="61">
        <v>2024</v>
      </c>
      <c r="AB225" s="61">
        <v>2025</v>
      </c>
      <c r="AC225" s="12"/>
      <c r="AD225" s="11"/>
      <c r="AE225" s="11"/>
      <c r="AF225" s="13"/>
      <c r="AG225" s="13"/>
      <c r="AH225" s="13"/>
      <c r="AI225" s="13"/>
      <c r="AJ225" s="13"/>
      <c r="AK225" s="13"/>
      <c r="AL225" s="12"/>
      <c r="AM225" s="13"/>
      <c r="AN225" s="13"/>
      <c r="AO225" s="13"/>
      <c r="AP225" s="13"/>
      <c r="AQ225" s="13"/>
      <c r="AR225" s="13"/>
      <c r="AS225" s="13"/>
      <c r="AT225" s="11"/>
      <c r="AU225" s="11"/>
      <c r="AV225" s="11"/>
      <c r="AW225" s="11"/>
      <c r="AX225" s="11"/>
      <c r="AY225" s="11"/>
      <c r="AZ225" s="11"/>
      <c r="BA225" s="11"/>
      <c r="BB225" s="11"/>
      <c r="BC225" s="11"/>
      <c r="BD225" s="14"/>
      <c r="BE225" s="11"/>
      <c r="BF225" s="11"/>
      <c r="BG225" s="11"/>
      <c r="BH225" s="11"/>
      <c r="BI225" s="11"/>
      <c r="BJ225" s="11"/>
      <c r="BK225" s="11"/>
      <c r="BL225" s="11"/>
      <c r="BM225" s="11"/>
      <c r="BN225" s="11"/>
      <c r="BO225" s="11"/>
      <c r="BP225" s="11"/>
      <c r="BQ225" s="11"/>
      <c r="BR225" s="11"/>
      <c r="BS225" s="11"/>
      <c r="BT225" s="11"/>
      <c r="BU225" s="11"/>
      <c r="BV225" s="11"/>
      <c r="BW225" s="11"/>
      <c r="BX225" s="11"/>
      <c r="BY225" s="11"/>
      <c r="BZ225" s="11"/>
      <c r="CA225" s="11"/>
      <c r="CB225" s="11"/>
      <c r="CC225" s="11"/>
      <c r="CD225" s="11"/>
      <c r="CE225" s="11"/>
      <c r="CF225" s="11"/>
      <c r="CG225" s="11"/>
      <c r="CH225" s="11"/>
    </row>
    <row r="226" spans="1:86">
      <c r="A226" s="11"/>
      <c r="B226" s="11"/>
      <c r="C226" s="16" t="s">
        <v>31</v>
      </c>
      <c r="D226" s="17" t="s">
        <v>32</v>
      </c>
      <c r="E226" s="35">
        <v>5.5665683126414303E-2</v>
      </c>
      <c r="F226" s="35">
        <v>7.0078211743604832E-2</v>
      </c>
      <c r="G226" s="35">
        <v>7.5569845827427401E-2</v>
      </c>
      <c r="H226" s="35">
        <v>7.193298281842872E-2</v>
      </c>
      <c r="I226" s="35">
        <v>6.5036901609618336E-2</v>
      </c>
      <c r="J226" s="35">
        <v>5.4692451232343176E-2</v>
      </c>
      <c r="K226" s="36"/>
      <c r="L226" s="37" t="s">
        <v>31</v>
      </c>
      <c r="M226" s="38" t="s">
        <v>32</v>
      </c>
      <c r="N226" s="35">
        <v>3.5987960315171069E-2</v>
      </c>
      <c r="O226" s="35">
        <v>3.4367277607125858E-2</v>
      </c>
      <c r="P226" s="35">
        <v>3.837300632073512E-2</v>
      </c>
      <c r="Q226" s="35">
        <v>3.7104667803332325E-2</v>
      </c>
      <c r="R226" s="35">
        <v>2.7609370359729872E-2</v>
      </c>
      <c r="S226" s="35">
        <v>2.4516000299118185E-2</v>
      </c>
      <c r="T226" s="11"/>
      <c r="U226" s="37" t="s">
        <v>31</v>
      </c>
      <c r="V226" s="38" t="s">
        <v>32</v>
      </c>
      <c r="W226" s="35">
        <f>E226+N226</f>
        <v>9.1653643441585372E-2</v>
      </c>
      <c r="X226" s="35">
        <f>F226+O226</f>
        <v>0.1044454893507307</v>
      </c>
      <c r="Y226" s="35">
        <f t="shared" ref="Y226:Y233" si="122">G226+P226</f>
        <v>0.11394285214816252</v>
      </c>
      <c r="Z226" s="35">
        <f t="shared" ref="Z226:Z233" si="123">H226+Q226</f>
        <v>0.10903765062176105</v>
      </c>
      <c r="AA226" s="35">
        <f t="shared" ref="AA226:AA233" si="124">I226+R226</f>
        <v>9.2646271969348215E-2</v>
      </c>
      <c r="AB226" s="35">
        <f t="shared" ref="AB226:AB233" si="125">J226+S226</f>
        <v>7.920845153146136E-2</v>
      </c>
      <c r="AC226" s="19"/>
      <c r="AD226" s="20"/>
      <c r="AE226" s="15"/>
      <c r="AF226" s="30"/>
      <c r="AG226" s="30"/>
      <c r="AH226" s="30"/>
      <c r="AI226" s="30"/>
      <c r="AJ226" s="30"/>
      <c r="AK226" s="30"/>
      <c r="AL226" s="31"/>
      <c r="AM226" s="21"/>
      <c r="AN226" s="21"/>
      <c r="AO226" s="21"/>
      <c r="AP226" s="21"/>
      <c r="AQ226" s="21"/>
      <c r="AR226" s="21"/>
      <c r="AS226" s="21"/>
      <c r="AT226" s="11"/>
      <c r="AU226" s="11"/>
      <c r="AV226" s="11"/>
      <c r="AW226" s="11"/>
      <c r="AX226" s="11"/>
      <c r="AY226" s="11"/>
      <c r="AZ226" s="11"/>
      <c r="BA226" s="11"/>
      <c r="BB226" s="11"/>
      <c r="BC226" s="11"/>
      <c r="BD226" s="14"/>
      <c r="BE226" s="11"/>
      <c r="BF226" s="11"/>
      <c r="BG226" s="11"/>
      <c r="BH226" s="11"/>
      <c r="BI226" s="11"/>
      <c r="BJ226" s="11"/>
      <c r="BK226" s="11"/>
      <c r="BL226" s="11"/>
      <c r="BM226" s="11"/>
      <c r="BN226" s="11"/>
      <c r="BO226" s="11"/>
      <c r="BP226" s="11"/>
      <c r="BQ226" s="11"/>
      <c r="BR226" s="11"/>
      <c r="BS226" s="11"/>
      <c r="BT226" s="11"/>
      <c r="BU226" s="11"/>
      <c r="BV226" s="11"/>
      <c r="BW226" s="11"/>
      <c r="BX226" s="11"/>
      <c r="BY226" s="11"/>
      <c r="BZ226" s="11"/>
      <c r="CA226" s="11"/>
      <c r="CB226" s="11"/>
      <c r="CC226" s="11"/>
      <c r="CD226" s="11"/>
      <c r="CE226" s="11"/>
      <c r="CF226" s="11"/>
      <c r="CG226" s="11"/>
      <c r="CH226" s="11"/>
    </row>
    <row r="227" spans="1:86">
      <c r="C227" s="16" t="s">
        <v>33</v>
      </c>
      <c r="D227" s="17" t="s">
        <v>32</v>
      </c>
      <c r="E227" s="35">
        <v>0.41245344159507114</v>
      </c>
      <c r="F227" s="35">
        <v>0.38849780711037341</v>
      </c>
      <c r="G227" s="35">
        <v>0.54659331598016381</v>
      </c>
      <c r="H227" s="35">
        <v>0.61001308204389937</v>
      </c>
      <c r="I227" s="35">
        <v>0.56840138454400824</v>
      </c>
      <c r="J227" s="35">
        <v>0.53175109322156122</v>
      </c>
      <c r="K227" s="39"/>
      <c r="L227" s="37" t="s">
        <v>33</v>
      </c>
      <c r="M227" s="38" t="s">
        <v>32</v>
      </c>
      <c r="N227" s="35">
        <v>0</v>
      </c>
      <c r="O227" s="35">
        <v>0</v>
      </c>
      <c r="P227" s="35">
        <v>0</v>
      </c>
      <c r="Q227" s="35">
        <v>0</v>
      </c>
      <c r="R227" s="35">
        <v>0</v>
      </c>
      <c r="S227" s="35">
        <v>0</v>
      </c>
      <c r="U227" s="37" t="s">
        <v>33</v>
      </c>
      <c r="V227" s="38" t="s">
        <v>32</v>
      </c>
      <c r="W227" s="35">
        <f t="shared" ref="W227:W233" si="126">E227+N227</f>
        <v>0.41245344159507114</v>
      </c>
      <c r="X227" s="35">
        <f t="shared" ref="X227:X233" si="127">F227+O227</f>
        <v>0.38849780711037341</v>
      </c>
      <c r="Y227" s="35">
        <f t="shared" si="122"/>
        <v>0.54659331598016381</v>
      </c>
      <c r="Z227" s="35">
        <f t="shared" si="123"/>
        <v>0.61001308204389937</v>
      </c>
      <c r="AA227" s="35">
        <f t="shared" si="124"/>
        <v>0.56840138454400824</v>
      </c>
      <c r="AB227" s="35">
        <f t="shared" si="125"/>
        <v>0.53175109322156122</v>
      </c>
      <c r="AC227" s="19"/>
      <c r="AD227" s="20"/>
      <c r="AE227" s="15"/>
      <c r="AF227" s="30"/>
      <c r="AG227" s="30"/>
      <c r="AH227" s="30"/>
      <c r="AI227" s="30"/>
      <c r="AJ227" s="30"/>
      <c r="AK227" s="30"/>
      <c r="AL227" s="31"/>
      <c r="AM227" s="21"/>
      <c r="AN227" s="21"/>
      <c r="AO227" s="21"/>
      <c r="AP227" s="21"/>
      <c r="AQ227" s="21"/>
      <c r="AR227" s="21"/>
      <c r="AS227" s="21"/>
    </row>
    <row r="228" spans="1:86">
      <c r="C228" s="16" t="s">
        <v>34</v>
      </c>
      <c r="D228" s="17" t="s">
        <v>32</v>
      </c>
      <c r="E228" s="35">
        <v>0</v>
      </c>
      <c r="F228" s="35">
        <v>0</v>
      </c>
      <c r="G228" s="35">
        <v>0</v>
      </c>
      <c r="H228" s="35">
        <v>0</v>
      </c>
      <c r="I228" s="35">
        <v>0</v>
      </c>
      <c r="J228" s="35">
        <v>0</v>
      </c>
      <c r="K228" s="39"/>
      <c r="L228" s="37" t="s">
        <v>34</v>
      </c>
      <c r="M228" s="38" t="s">
        <v>32</v>
      </c>
      <c r="N228" s="35">
        <v>0</v>
      </c>
      <c r="O228" s="35">
        <v>0</v>
      </c>
      <c r="P228" s="35">
        <v>0</v>
      </c>
      <c r="Q228" s="35">
        <v>0</v>
      </c>
      <c r="R228" s="35">
        <v>0</v>
      </c>
      <c r="S228" s="35">
        <v>0</v>
      </c>
      <c r="U228" s="37" t="s">
        <v>34</v>
      </c>
      <c r="V228" s="38" t="s">
        <v>32</v>
      </c>
      <c r="W228" s="35">
        <f t="shared" si="126"/>
        <v>0</v>
      </c>
      <c r="X228" s="35">
        <f t="shared" si="127"/>
        <v>0</v>
      </c>
      <c r="Y228" s="35">
        <f t="shared" si="122"/>
        <v>0</v>
      </c>
      <c r="Z228" s="35">
        <f t="shared" si="123"/>
        <v>0</v>
      </c>
      <c r="AA228" s="35">
        <f t="shared" si="124"/>
        <v>0</v>
      </c>
      <c r="AB228" s="35">
        <f t="shared" si="125"/>
        <v>0</v>
      </c>
      <c r="AC228" s="19"/>
      <c r="AD228" s="20"/>
      <c r="AE228" s="15"/>
      <c r="AF228" s="30"/>
      <c r="AG228" s="30"/>
      <c r="AH228" s="30"/>
      <c r="AI228" s="30"/>
      <c r="AJ228" s="30"/>
      <c r="AK228" s="30"/>
      <c r="AL228" s="31"/>
      <c r="AM228" s="21"/>
      <c r="AN228" s="21"/>
      <c r="AO228" s="21"/>
      <c r="AP228" s="21"/>
      <c r="AQ228" s="21"/>
      <c r="AR228" s="21"/>
      <c r="AS228" s="21"/>
    </row>
    <row r="229" spans="1:86">
      <c r="C229" s="16" t="s">
        <v>35</v>
      </c>
      <c r="D229" s="17" t="s">
        <v>32</v>
      </c>
      <c r="E229" s="35">
        <v>1.4277281452936134E-2</v>
      </c>
      <c r="F229" s="35">
        <v>1.3060996520601378E-2</v>
      </c>
      <c r="G229" s="35">
        <v>1.3859400541810563E-2</v>
      </c>
      <c r="H229" s="35">
        <v>1.3945719174500338E-2</v>
      </c>
      <c r="I229" s="35">
        <v>1.3010697594619546E-2</v>
      </c>
      <c r="J229" s="35">
        <v>1.276667620844758E-2</v>
      </c>
      <c r="K229" s="39"/>
      <c r="L229" s="37" t="s">
        <v>35</v>
      </c>
      <c r="M229" s="38" t="s">
        <v>32</v>
      </c>
      <c r="N229" s="35">
        <v>3.3301089325097726E-2</v>
      </c>
      <c r="O229" s="35">
        <v>3.2199298789270928E-2</v>
      </c>
      <c r="P229" s="35">
        <v>3.7797006302931917E-2</v>
      </c>
      <c r="Q229" s="35">
        <v>3.6030599589023271E-2</v>
      </c>
      <c r="R229" s="35">
        <v>3.5252322114213357E-2</v>
      </c>
      <c r="S229" s="35">
        <v>3.3771110035362886E-2</v>
      </c>
      <c r="U229" s="37" t="s">
        <v>35</v>
      </c>
      <c r="V229" s="38" t="s">
        <v>32</v>
      </c>
      <c r="W229" s="35">
        <f t="shared" si="126"/>
        <v>4.7578370778033861E-2</v>
      </c>
      <c r="X229" s="35">
        <f t="shared" si="127"/>
        <v>4.5260295309872307E-2</v>
      </c>
      <c r="Y229" s="35">
        <f t="shared" si="122"/>
        <v>5.1656406844742479E-2</v>
      </c>
      <c r="Z229" s="35">
        <f t="shared" si="123"/>
        <v>4.9976318763523611E-2</v>
      </c>
      <c r="AA229" s="35">
        <f t="shared" si="124"/>
        <v>4.8263019708832899E-2</v>
      </c>
      <c r="AB229" s="35">
        <f t="shared" si="125"/>
        <v>4.6537786243810469E-2</v>
      </c>
      <c r="AC229" s="19"/>
      <c r="AD229" s="20"/>
      <c r="AE229" s="15"/>
      <c r="AF229" s="30"/>
      <c r="AG229" s="30"/>
      <c r="AH229" s="30"/>
      <c r="AI229" s="30"/>
      <c r="AJ229" s="30"/>
      <c r="AK229" s="30"/>
      <c r="AL229" s="31"/>
      <c r="AM229" s="21"/>
      <c r="AN229" s="21"/>
      <c r="AO229" s="21"/>
      <c r="AP229" s="21"/>
      <c r="AQ229" s="21"/>
      <c r="AR229" s="21"/>
      <c r="AS229" s="21"/>
    </row>
    <row r="230" spans="1:86">
      <c r="C230" s="16" t="s">
        <v>36</v>
      </c>
      <c r="D230" s="17" t="s">
        <v>32</v>
      </c>
      <c r="E230" s="35">
        <v>9.2960749865613659E-2</v>
      </c>
      <c r="F230" s="35">
        <v>0</v>
      </c>
      <c r="G230" s="35">
        <v>0</v>
      </c>
      <c r="H230" s="35">
        <v>0</v>
      </c>
      <c r="I230" s="35">
        <v>0</v>
      </c>
      <c r="J230" s="35">
        <v>2.8737980791892503E-2</v>
      </c>
      <c r="K230" s="39"/>
      <c r="L230" s="37" t="s">
        <v>36</v>
      </c>
      <c r="M230" s="38" t="s">
        <v>32</v>
      </c>
      <c r="N230" s="35">
        <v>0.69434974659998094</v>
      </c>
      <c r="O230" s="35">
        <v>0</v>
      </c>
      <c r="P230" s="35">
        <v>0</v>
      </c>
      <c r="Q230" s="35">
        <v>0</v>
      </c>
      <c r="R230" s="35">
        <v>0</v>
      </c>
      <c r="S230" s="35">
        <v>0.60326148759737586</v>
      </c>
      <c r="U230" s="37" t="s">
        <v>36</v>
      </c>
      <c r="V230" s="38" t="s">
        <v>32</v>
      </c>
      <c r="W230" s="35">
        <f t="shared" si="126"/>
        <v>0.78731049646559459</v>
      </c>
      <c r="X230" s="35">
        <f t="shared" si="127"/>
        <v>0</v>
      </c>
      <c r="Y230" s="35">
        <f t="shared" si="122"/>
        <v>0</v>
      </c>
      <c r="Z230" s="35">
        <f t="shared" si="123"/>
        <v>0</v>
      </c>
      <c r="AA230" s="35">
        <f t="shared" si="124"/>
        <v>0</v>
      </c>
      <c r="AB230" s="35">
        <f>J230+S230</f>
        <v>0.63199946838926835</v>
      </c>
      <c r="AC230" s="19"/>
      <c r="AD230" s="20"/>
      <c r="AE230" s="15"/>
      <c r="AF230" s="30"/>
      <c r="AG230" s="30"/>
      <c r="AH230" s="30"/>
      <c r="AI230" s="30"/>
      <c r="AJ230" s="30"/>
      <c r="AK230" s="30"/>
      <c r="AL230" s="31"/>
      <c r="AM230" s="21"/>
      <c r="AN230" s="21"/>
      <c r="AO230" s="21"/>
      <c r="AP230" s="21"/>
      <c r="AQ230" s="21"/>
      <c r="AR230" s="21"/>
      <c r="AS230" s="21"/>
    </row>
    <row r="231" spans="1:86">
      <c r="C231" s="16" t="s">
        <v>37</v>
      </c>
      <c r="D231" s="17" t="s">
        <v>32</v>
      </c>
      <c r="E231" s="35">
        <v>1.3726918716496928E-3</v>
      </c>
      <c r="F231" s="35">
        <v>1.2242571089481613E-3</v>
      </c>
      <c r="G231" s="35">
        <v>1.6875899566211941E-3</v>
      </c>
      <c r="H231" s="35">
        <v>1.8358342431143491E-3</v>
      </c>
      <c r="I231" s="35">
        <v>0</v>
      </c>
      <c r="J231" s="35">
        <v>8.3465117453792009E-4</v>
      </c>
      <c r="K231" s="39"/>
      <c r="L231" s="37" t="s">
        <v>37</v>
      </c>
      <c r="M231" s="38" t="s">
        <v>32</v>
      </c>
      <c r="N231" s="35">
        <v>1.0115025157357515E-3</v>
      </c>
      <c r="O231" s="35">
        <v>8.4925120601516053E-4</v>
      </c>
      <c r="P231" s="35">
        <v>1.2027670711956151E-3</v>
      </c>
      <c r="Q231" s="35">
        <v>1.3240400949475269E-3</v>
      </c>
      <c r="R231" s="35">
        <v>0</v>
      </c>
      <c r="S231" s="35">
        <v>9.1856700886521489E-4</v>
      </c>
      <c r="U231" s="37" t="s">
        <v>37</v>
      </c>
      <c r="V231" s="38" t="s">
        <v>32</v>
      </c>
      <c r="W231" s="35">
        <f t="shared" si="126"/>
        <v>2.3841943873854441E-3</v>
      </c>
      <c r="X231" s="35">
        <f t="shared" si="127"/>
        <v>2.0735083149633219E-3</v>
      </c>
      <c r="Y231" s="35">
        <f t="shared" si="122"/>
        <v>2.8903570278168093E-3</v>
      </c>
      <c r="Z231" s="35">
        <f t="shared" si="123"/>
        <v>3.1598743380618763E-3</v>
      </c>
      <c r="AA231" s="35">
        <f t="shared" si="124"/>
        <v>0</v>
      </c>
      <c r="AB231" s="35">
        <f t="shared" si="125"/>
        <v>1.7532181834031351E-3</v>
      </c>
      <c r="AC231" s="19"/>
      <c r="AD231" s="20"/>
      <c r="AE231" s="15"/>
      <c r="AF231" s="30"/>
      <c r="AG231" s="30"/>
      <c r="AH231" s="30"/>
      <c r="AI231" s="30"/>
      <c r="AJ231" s="30"/>
      <c r="AK231" s="30"/>
      <c r="AL231" s="31"/>
      <c r="AM231" s="21"/>
      <c r="AN231" s="21"/>
      <c r="AO231" s="21"/>
      <c r="AP231" s="21"/>
      <c r="AQ231" s="21"/>
      <c r="AR231" s="21"/>
      <c r="AS231" s="21"/>
    </row>
    <row r="232" spans="1:86">
      <c r="C232" s="16" t="s">
        <v>38</v>
      </c>
      <c r="D232" s="17" t="s">
        <v>32</v>
      </c>
      <c r="E232" s="35">
        <v>0</v>
      </c>
      <c r="F232" s="35">
        <v>0</v>
      </c>
      <c r="G232" s="35">
        <v>0</v>
      </c>
      <c r="H232" s="35">
        <v>0</v>
      </c>
      <c r="I232" s="35">
        <v>0</v>
      </c>
      <c r="J232" s="35">
        <v>0</v>
      </c>
      <c r="K232" s="39"/>
      <c r="L232" s="37" t="s">
        <v>38</v>
      </c>
      <c r="M232" s="38" t="s">
        <v>32</v>
      </c>
      <c r="N232" s="35">
        <v>0</v>
      </c>
      <c r="O232" s="35">
        <v>0</v>
      </c>
      <c r="P232" s="35">
        <v>0</v>
      </c>
      <c r="Q232" s="35">
        <v>0</v>
      </c>
      <c r="R232" s="35">
        <v>0</v>
      </c>
      <c r="S232" s="35">
        <v>0</v>
      </c>
      <c r="U232" s="37" t="s">
        <v>38</v>
      </c>
      <c r="V232" s="38" t="s">
        <v>32</v>
      </c>
      <c r="W232" s="35">
        <f t="shared" si="126"/>
        <v>0</v>
      </c>
      <c r="X232" s="35">
        <f t="shared" si="127"/>
        <v>0</v>
      </c>
      <c r="Y232" s="35">
        <f t="shared" si="122"/>
        <v>0</v>
      </c>
      <c r="Z232" s="35">
        <f t="shared" si="123"/>
        <v>0</v>
      </c>
      <c r="AA232" s="35">
        <f t="shared" si="124"/>
        <v>0</v>
      </c>
      <c r="AB232" s="35">
        <f t="shared" si="125"/>
        <v>0</v>
      </c>
      <c r="AC232" s="19"/>
      <c r="AD232" s="20"/>
      <c r="AE232" s="15"/>
      <c r="AF232" s="30"/>
      <c r="AG232" s="30"/>
      <c r="AH232" s="30"/>
      <c r="AI232" s="30"/>
      <c r="AJ232" s="30"/>
      <c r="AK232" s="30"/>
      <c r="AL232" s="31"/>
      <c r="AM232" s="21"/>
      <c r="AN232" s="21"/>
      <c r="AO232" s="21"/>
      <c r="AP232" s="21"/>
      <c r="AQ232" s="21"/>
      <c r="AR232" s="21"/>
      <c r="AS232" s="21"/>
    </row>
    <row r="233" spans="1:86">
      <c r="C233" s="16" t="s">
        <v>39</v>
      </c>
      <c r="D233" s="17" t="s">
        <v>32</v>
      </c>
      <c r="E233" s="35">
        <v>0</v>
      </c>
      <c r="F233" s="35">
        <v>0</v>
      </c>
      <c r="G233" s="35">
        <v>0</v>
      </c>
      <c r="H233" s="35">
        <v>0</v>
      </c>
      <c r="I233" s="35">
        <v>0</v>
      </c>
      <c r="J233" s="35">
        <v>0</v>
      </c>
      <c r="K233" s="39"/>
      <c r="L233" s="37" t="s">
        <v>39</v>
      </c>
      <c r="M233" s="38" t="s">
        <v>32</v>
      </c>
      <c r="N233" s="35">
        <v>0</v>
      </c>
      <c r="O233" s="35">
        <v>0</v>
      </c>
      <c r="P233" s="35">
        <v>0</v>
      </c>
      <c r="Q233" s="35">
        <v>0</v>
      </c>
      <c r="R233" s="35">
        <v>0</v>
      </c>
      <c r="S233" s="35">
        <v>0</v>
      </c>
      <c r="U233" s="37" t="s">
        <v>39</v>
      </c>
      <c r="V233" s="38" t="s">
        <v>32</v>
      </c>
      <c r="W233" s="35">
        <f t="shared" si="126"/>
        <v>0</v>
      </c>
      <c r="X233" s="35">
        <f t="shared" si="127"/>
        <v>0</v>
      </c>
      <c r="Y233" s="35">
        <f t="shared" si="122"/>
        <v>0</v>
      </c>
      <c r="Z233" s="35">
        <f t="shared" si="123"/>
        <v>0</v>
      </c>
      <c r="AA233" s="35">
        <f t="shared" si="124"/>
        <v>0</v>
      </c>
      <c r="AB233" s="35">
        <f t="shared" si="125"/>
        <v>0</v>
      </c>
      <c r="AC233" s="19"/>
      <c r="AD233" s="20"/>
      <c r="AE233" s="15"/>
      <c r="AF233" s="30"/>
      <c r="AG233" s="30"/>
      <c r="AH233" s="30"/>
      <c r="AI233" s="30"/>
      <c r="AJ233" s="30"/>
      <c r="AK233" s="30"/>
      <c r="AL233" s="31"/>
      <c r="AM233" s="21"/>
      <c r="AN233" s="21"/>
      <c r="AO233" s="21"/>
      <c r="AP233" s="21"/>
      <c r="AQ233" s="21"/>
      <c r="AR233" s="21"/>
      <c r="AS233" s="21"/>
    </row>
    <row r="234" spans="1:86">
      <c r="A234" s="22"/>
      <c r="C234" s="23" t="s">
        <v>40</v>
      </c>
      <c r="D234" s="17" t="s">
        <v>32</v>
      </c>
      <c r="E234" s="40">
        <v>0.57672984791168491</v>
      </c>
      <c r="F234" s="40">
        <v>0.47286127248352777</v>
      </c>
      <c r="G234" s="40">
        <v>0.63771015230602301</v>
      </c>
      <c r="H234" s="40">
        <v>0.6977276182799429</v>
      </c>
      <c r="I234" s="40">
        <v>0.64644898374824611</v>
      </c>
      <c r="J234" s="40">
        <v>0.62878285262878253</v>
      </c>
      <c r="K234" s="39"/>
      <c r="L234" s="41" t="s">
        <v>40</v>
      </c>
      <c r="M234" s="38" t="s">
        <v>32</v>
      </c>
      <c r="N234" s="40">
        <v>0.76465029875598556</v>
      </c>
      <c r="O234" s="40">
        <v>6.7415827602411951E-2</v>
      </c>
      <c r="P234" s="40">
        <v>7.7372779694862656E-2</v>
      </c>
      <c r="Q234" s="40">
        <v>7.4459307487303117E-2</v>
      </c>
      <c r="R234" s="40">
        <v>6.2861692473943229E-2</v>
      </c>
      <c r="S234" s="40">
        <v>0.66246716494072211</v>
      </c>
      <c r="U234" s="41" t="s">
        <v>40</v>
      </c>
      <c r="V234" s="38" t="s">
        <v>32</v>
      </c>
      <c r="W234" s="40">
        <f>SUM(W226:W233)</f>
        <v>1.3413801466676705</v>
      </c>
      <c r="X234" s="40">
        <f>SUM(X226:X233)</f>
        <v>0.54027710008593977</v>
      </c>
      <c r="Y234" s="40">
        <f t="shared" ref="Y234:AB234" si="128">SUM(Y226:Y233)</f>
        <v>0.71508293200088568</v>
      </c>
      <c r="Z234" s="40">
        <f t="shared" si="128"/>
        <v>0.7721869257672459</v>
      </c>
      <c r="AA234" s="40">
        <f t="shared" si="128"/>
        <v>0.70931067622218946</v>
      </c>
      <c r="AB234" s="40">
        <f t="shared" si="128"/>
        <v>1.2912500175695047</v>
      </c>
      <c r="AC234" s="25"/>
      <c r="AD234" s="26"/>
      <c r="AE234" s="15"/>
      <c r="AF234" s="32"/>
      <c r="AG234" s="32"/>
      <c r="AH234" s="32"/>
      <c r="AI234" s="32"/>
      <c r="AJ234" s="32"/>
      <c r="AK234" s="32"/>
      <c r="AL234" s="33"/>
      <c r="AM234" s="27"/>
      <c r="AN234" s="27"/>
      <c r="AO234" s="27"/>
      <c r="AP234" s="27"/>
      <c r="AQ234" s="27"/>
      <c r="AR234" s="27"/>
      <c r="AS234" s="27"/>
    </row>
    <row r="236" spans="1:86">
      <c r="C236" s="9" t="s">
        <v>8</v>
      </c>
      <c r="D236" s="9"/>
      <c r="E236" s="9"/>
      <c r="F236" s="9"/>
      <c r="G236" s="9"/>
      <c r="H236" s="9"/>
      <c r="I236" s="9"/>
      <c r="J236" s="9"/>
      <c r="L236" s="9" t="s">
        <v>8</v>
      </c>
      <c r="M236" s="9"/>
      <c r="N236" s="9"/>
      <c r="O236" s="9"/>
      <c r="P236" s="9"/>
      <c r="Q236" s="9"/>
      <c r="R236" s="9"/>
      <c r="S236" s="9"/>
      <c r="U236" s="9" t="str">
        <f>L236</f>
        <v>Silver</v>
      </c>
      <c r="V236" s="9"/>
      <c r="W236" s="9"/>
      <c r="X236" s="9"/>
      <c r="Y236" s="9"/>
      <c r="Z236" s="9"/>
      <c r="AA236" s="9"/>
      <c r="AB236" s="9"/>
      <c r="AC236" s="8"/>
      <c r="AD236" s="10"/>
      <c r="AE236" s="10"/>
      <c r="AF236" s="10"/>
      <c r="AG236" s="10"/>
      <c r="AH236" s="10"/>
      <c r="AI236" s="10"/>
      <c r="AJ236" s="10"/>
      <c r="AK236" s="10"/>
      <c r="AL236" s="8"/>
      <c r="AM236" s="10"/>
      <c r="AN236" s="10"/>
      <c r="AO236" s="10"/>
      <c r="AP236" s="10"/>
      <c r="AQ236" s="10"/>
      <c r="AR236" s="10"/>
      <c r="AS236" s="10"/>
    </row>
    <row r="237" spans="1:86" s="15" customFormat="1">
      <c r="A237" s="11"/>
      <c r="B237" s="11"/>
      <c r="C237" s="60"/>
      <c r="D237" s="60" t="s">
        <v>11</v>
      </c>
      <c r="E237" s="61">
        <v>2020</v>
      </c>
      <c r="F237" s="61">
        <v>2021</v>
      </c>
      <c r="G237" s="61">
        <v>2022</v>
      </c>
      <c r="H237" s="61">
        <v>2023</v>
      </c>
      <c r="I237" s="61">
        <v>2024</v>
      </c>
      <c r="J237" s="61">
        <v>2025</v>
      </c>
      <c r="K237" s="11"/>
      <c r="L237" s="60"/>
      <c r="M237" s="60" t="s">
        <v>11</v>
      </c>
      <c r="N237" s="61">
        <v>2020</v>
      </c>
      <c r="O237" s="61">
        <v>2021</v>
      </c>
      <c r="P237" s="61">
        <v>2022</v>
      </c>
      <c r="Q237" s="61">
        <v>2023</v>
      </c>
      <c r="R237" s="61">
        <v>2024</v>
      </c>
      <c r="S237" s="61">
        <v>2025</v>
      </c>
      <c r="T237" s="11"/>
      <c r="U237" s="60"/>
      <c r="V237" s="60" t="s">
        <v>11</v>
      </c>
      <c r="W237" s="61">
        <v>2020</v>
      </c>
      <c r="X237" s="61">
        <v>2021</v>
      </c>
      <c r="Y237" s="61">
        <v>2022</v>
      </c>
      <c r="Z237" s="61">
        <v>2023</v>
      </c>
      <c r="AA237" s="61">
        <v>2024</v>
      </c>
      <c r="AB237" s="61">
        <v>2025</v>
      </c>
      <c r="AC237" s="12"/>
      <c r="AD237" s="11"/>
      <c r="AE237" s="11"/>
      <c r="AF237" s="13"/>
      <c r="AG237" s="13"/>
      <c r="AH237" s="13"/>
      <c r="AI237" s="13"/>
      <c r="AJ237" s="13"/>
      <c r="AK237" s="13"/>
      <c r="AL237" s="12"/>
      <c r="AM237" s="13"/>
      <c r="AN237" s="13"/>
      <c r="AO237" s="13"/>
      <c r="AP237" s="13"/>
      <c r="AQ237" s="13"/>
      <c r="AR237" s="13"/>
      <c r="AS237" s="13"/>
      <c r="AT237" s="11"/>
      <c r="AU237" s="11"/>
      <c r="AV237" s="11"/>
      <c r="AW237" s="11"/>
      <c r="AX237" s="11"/>
      <c r="AY237" s="11"/>
      <c r="AZ237" s="11"/>
      <c r="BA237" s="11"/>
      <c r="BB237" s="11"/>
      <c r="BC237" s="11"/>
      <c r="BD237" s="14"/>
      <c r="BE237" s="11"/>
      <c r="BF237" s="11"/>
      <c r="BG237" s="11"/>
      <c r="BH237" s="11"/>
      <c r="BI237" s="11"/>
      <c r="BJ237" s="11"/>
      <c r="BK237" s="11"/>
      <c r="BL237" s="11"/>
      <c r="BM237" s="11"/>
      <c r="BN237" s="11"/>
      <c r="BO237" s="11"/>
      <c r="BP237" s="11"/>
      <c r="BQ237" s="11"/>
      <c r="BR237" s="11"/>
      <c r="BS237" s="11"/>
      <c r="BT237" s="11"/>
      <c r="BU237" s="11"/>
      <c r="BV237" s="11"/>
      <c r="BW237" s="11"/>
      <c r="BX237" s="11"/>
      <c r="BY237" s="11"/>
      <c r="BZ237" s="11"/>
      <c r="CA237" s="11"/>
      <c r="CB237" s="11"/>
      <c r="CC237" s="11"/>
      <c r="CD237" s="11"/>
      <c r="CE237" s="11"/>
      <c r="CF237" s="11"/>
      <c r="CG237" s="11"/>
      <c r="CH237" s="11"/>
    </row>
    <row r="238" spans="1:86">
      <c r="A238" s="11"/>
      <c r="B238" s="11"/>
      <c r="C238" s="16" t="s">
        <v>31</v>
      </c>
      <c r="D238" s="17" t="s">
        <v>32</v>
      </c>
      <c r="E238" s="18">
        <v>838.84601994220077</v>
      </c>
      <c r="F238" s="18">
        <v>723.45196790888849</v>
      </c>
      <c r="G238" s="18">
        <v>766.45476210730931</v>
      </c>
      <c r="H238" s="18">
        <v>706.91853949772269</v>
      </c>
      <c r="I238" s="18">
        <v>623.06493693140806</v>
      </c>
      <c r="J238" s="18">
        <v>555.47513326869068</v>
      </c>
      <c r="K238" s="11"/>
      <c r="L238" s="16" t="s">
        <v>31</v>
      </c>
      <c r="M238" s="17" t="s">
        <v>32</v>
      </c>
      <c r="N238" s="18">
        <v>438.79545281700115</v>
      </c>
      <c r="O238" s="18">
        <v>427.01146079191489</v>
      </c>
      <c r="P238" s="18">
        <v>458.78559462903434</v>
      </c>
      <c r="Q238" s="18">
        <v>520.69228850182742</v>
      </c>
      <c r="R238" s="18">
        <v>454.97909953589857</v>
      </c>
      <c r="S238" s="18">
        <v>438.61933712831376</v>
      </c>
      <c r="T238" s="11"/>
      <c r="U238" s="16" t="s">
        <v>31</v>
      </c>
      <c r="V238" s="17" t="s">
        <v>32</v>
      </c>
      <c r="W238" s="18">
        <f>E238+N238</f>
        <v>1277.6414727592019</v>
      </c>
      <c r="X238" s="18">
        <f t="shared" ref="X238:X245" si="129">F238+O238</f>
        <v>1150.4634287008034</v>
      </c>
      <c r="Y238" s="18">
        <f t="shared" ref="Y238:Y245" si="130">G238+P238</f>
        <v>1225.2403567363435</v>
      </c>
      <c r="Z238" s="18">
        <f t="shared" ref="Z238:Z245" si="131">H238+Q238</f>
        <v>1227.6108279995501</v>
      </c>
      <c r="AA238" s="18">
        <f t="shared" ref="AA238:AA245" si="132">I238+R238</f>
        <v>1078.0440364673066</v>
      </c>
      <c r="AB238" s="18">
        <f t="shared" ref="AB238:AB245" si="133">J238+S238</f>
        <v>994.09447039700444</v>
      </c>
      <c r="AC238" s="19"/>
      <c r="AD238" s="20"/>
      <c r="AE238" s="15"/>
      <c r="AF238" s="42"/>
      <c r="AG238" s="42"/>
      <c r="AH238" s="42"/>
      <c r="AI238" s="42"/>
      <c r="AJ238" s="42"/>
      <c r="AK238" s="42"/>
      <c r="AL238" s="43"/>
      <c r="AM238" s="21"/>
      <c r="AN238" s="21"/>
      <c r="AO238" s="21"/>
      <c r="AP238" s="21"/>
      <c r="AQ238" s="21"/>
      <c r="AR238" s="21"/>
      <c r="AS238" s="21"/>
      <c r="AT238" s="11"/>
      <c r="AU238" s="11"/>
      <c r="AV238" s="11"/>
      <c r="AW238" s="11"/>
      <c r="AX238" s="11"/>
      <c r="AY238" s="11"/>
      <c r="AZ238" s="11"/>
      <c r="BA238" s="11"/>
      <c r="BB238" s="11"/>
      <c r="BC238" s="11"/>
      <c r="BD238" s="14"/>
      <c r="BE238" s="11"/>
      <c r="BF238" s="11"/>
      <c r="BG238" s="11"/>
      <c r="BH238" s="11"/>
      <c r="BI238" s="11"/>
      <c r="BJ238" s="11"/>
      <c r="BK238" s="11"/>
      <c r="BL238" s="11"/>
      <c r="BM238" s="11"/>
      <c r="BN238" s="11"/>
      <c r="BO238" s="11"/>
      <c r="BP238" s="11"/>
      <c r="BQ238" s="11"/>
      <c r="BR238" s="11"/>
      <c r="BS238" s="11"/>
      <c r="BT238" s="11"/>
      <c r="BU238" s="11"/>
      <c r="BV238" s="11"/>
      <c r="BW238" s="11"/>
      <c r="BX238" s="11"/>
      <c r="BY238" s="11"/>
      <c r="BZ238" s="11"/>
      <c r="CA238" s="11"/>
      <c r="CB238" s="11"/>
      <c r="CC238" s="11"/>
      <c r="CD238" s="11"/>
      <c r="CE238" s="11"/>
      <c r="CF238" s="11"/>
      <c r="CG238" s="11"/>
      <c r="CH238" s="11"/>
    </row>
    <row r="239" spans="1:86">
      <c r="C239" s="16" t="s">
        <v>33</v>
      </c>
      <c r="D239" s="17" t="s">
        <v>32</v>
      </c>
      <c r="E239" s="35">
        <v>1.1150049998309839</v>
      </c>
      <c r="F239" s="35">
        <v>1.4363615692763381</v>
      </c>
      <c r="G239" s="35">
        <v>1.8140332522837117</v>
      </c>
      <c r="H239" s="35">
        <v>1.8273787328517166</v>
      </c>
      <c r="I239" s="35">
        <v>1.5041746733745005</v>
      </c>
      <c r="J239" s="35">
        <v>1.3118208268012286</v>
      </c>
      <c r="L239" s="16" t="s">
        <v>33</v>
      </c>
      <c r="M239" s="17" t="s">
        <v>32</v>
      </c>
      <c r="N239" s="18">
        <v>10.543044057105361</v>
      </c>
      <c r="O239" s="18">
        <v>11.996684003082899</v>
      </c>
      <c r="P239" s="18">
        <v>12.595685564713442</v>
      </c>
      <c r="Q239" s="18">
        <v>11.759286480822105</v>
      </c>
      <c r="R239" s="18">
        <v>11.394780429379804</v>
      </c>
      <c r="S239" s="18">
        <v>11.051977597745838</v>
      </c>
      <c r="U239" s="16" t="s">
        <v>33</v>
      </c>
      <c r="V239" s="17" t="s">
        <v>32</v>
      </c>
      <c r="W239" s="18">
        <f t="shared" ref="W239:W245" si="134">E239+N239</f>
        <v>11.658049056936344</v>
      </c>
      <c r="X239" s="18">
        <f t="shared" si="129"/>
        <v>13.433045572359237</v>
      </c>
      <c r="Y239" s="18">
        <f t="shared" si="130"/>
        <v>14.409718816997154</v>
      </c>
      <c r="Z239" s="18">
        <f t="shared" si="131"/>
        <v>13.586665213673822</v>
      </c>
      <c r="AA239" s="18">
        <f t="shared" si="132"/>
        <v>12.898955102754304</v>
      </c>
      <c r="AB239" s="18">
        <f t="shared" si="133"/>
        <v>12.363798424547067</v>
      </c>
      <c r="AC239" s="19"/>
      <c r="AD239" s="20"/>
      <c r="AE239" s="15"/>
      <c r="AF239" s="42"/>
      <c r="AG239" s="42"/>
      <c r="AH239" s="42"/>
      <c r="AI239" s="42"/>
      <c r="AJ239" s="42"/>
      <c r="AK239" s="42"/>
      <c r="AL239" s="43"/>
      <c r="AM239" s="21"/>
      <c r="AN239" s="21"/>
      <c r="AO239" s="21"/>
      <c r="AP239" s="21"/>
      <c r="AQ239" s="21"/>
      <c r="AR239" s="21"/>
      <c r="AS239" s="21"/>
    </row>
    <row r="240" spans="1:86">
      <c r="C240" s="16" t="s">
        <v>34</v>
      </c>
      <c r="D240" s="17" t="s">
        <v>32</v>
      </c>
      <c r="E240" s="18">
        <v>6397.335756846086</v>
      </c>
      <c r="F240" s="18">
        <v>6624.0512450343367</v>
      </c>
      <c r="G240" s="18">
        <v>6487.851048297558</v>
      </c>
      <c r="H240" s="18">
        <v>838.34433414513444</v>
      </c>
      <c r="I240" s="18">
        <v>761.13694700796077</v>
      </c>
      <c r="J240" s="18">
        <v>714.21503475856161</v>
      </c>
      <c r="L240" s="16" t="s">
        <v>34</v>
      </c>
      <c r="M240" s="17" t="s">
        <v>32</v>
      </c>
      <c r="N240" s="18">
        <v>528.50443822056502</v>
      </c>
      <c r="O240" s="18">
        <v>621.42796325752806</v>
      </c>
      <c r="P240" s="18">
        <v>639.29770628681638</v>
      </c>
      <c r="Q240" s="18">
        <v>658.94748545467451</v>
      </c>
      <c r="R240" s="18">
        <v>827.12373831451373</v>
      </c>
      <c r="S240" s="18">
        <v>797.85207160146797</v>
      </c>
      <c r="U240" s="16" t="s">
        <v>34</v>
      </c>
      <c r="V240" s="17" t="s">
        <v>32</v>
      </c>
      <c r="W240" s="18">
        <f t="shared" si="134"/>
        <v>6925.8401950666512</v>
      </c>
      <c r="X240" s="18">
        <f t="shared" si="129"/>
        <v>7245.4792082918648</v>
      </c>
      <c r="Y240" s="18">
        <f t="shared" si="130"/>
        <v>7127.1487545843747</v>
      </c>
      <c r="Z240" s="18">
        <f t="shared" si="131"/>
        <v>1497.2918195998091</v>
      </c>
      <c r="AA240" s="18">
        <f t="shared" si="132"/>
        <v>1588.2606853224745</v>
      </c>
      <c r="AB240" s="18">
        <f t="shared" si="133"/>
        <v>1512.0671063600296</v>
      </c>
      <c r="AC240" s="19"/>
      <c r="AD240" s="20"/>
      <c r="AE240" s="15"/>
      <c r="AF240" s="42"/>
      <c r="AG240" s="42"/>
      <c r="AH240" s="42"/>
      <c r="AI240" s="42"/>
      <c r="AJ240" s="42"/>
      <c r="AK240" s="42"/>
      <c r="AL240" s="43"/>
      <c r="AM240" s="21"/>
      <c r="AN240" s="21"/>
      <c r="AO240" s="21"/>
      <c r="AP240" s="21"/>
      <c r="AQ240" s="21"/>
      <c r="AR240" s="21"/>
      <c r="AS240" s="21"/>
    </row>
    <row r="241" spans="1:86">
      <c r="C241" s="16" t="s">
        <v>35</v>
      </c>
      <c r="D241" s="17" t="s">
        <v>32</v>
      </c>
      <c r="E241" s="18">
        <v>278.44224490517354</v>
      </c>
      <c r="F241" s="18">
        <v>276.82272328743352</v>
      </c>
      <c r="G241" s="18">
        <v>299.99622877685249</v>
      </c>
      <c r="H241" s="18">
        <v>278.77182528701002</v>
      </c>
      <c r="I241" s="18">
        <v>275.5748878550155</v>
      </c>
      <c r="J241" s="18">
        <v>241.44870326249469</v>
      </c>
      <c r="L241" s="16" t="s">
        <v>35</v>
      </c>
      <c r="M241" s="17" t="s">
        <v>32</v>
      </c>
      <c r="N241" s="18">
        <v>126.79937717206549</v>
      </c>
      <c r="O241" s="18">
        <v>131.59003254547295</v>
      </c>
      <c r="P241" s="18">
        <v>119.86263226761969</v>
      </c>
      <c r="Q241" s="18">
        <v>80.682016395765459</v>
      </c>
      <c r="R241" s="18">
        <v>83.735058923201478</v>
      </c>
      <c r="S241" s="18">
        <v>77.818888245028432</v>
      </c>
      <c r="U241" s="16" t="s">
        <v>35</v>
      </c>
      <c r="V241" s="17" t="s">
        <v>32</v>
      </c>
      <c r="W241" s="18">
        <f t="shared" si="134"/>
        <v>405.24162207723901</v>
      </c>
      <c r="X241" s="18">
        <f t="shared" si="129"/>
        <v>408.41275583290644</v>
      </c>
      <c r="Y241" s="18">
        <f t="shared" si="130"/>
        <v>419.85886104447218</v>
      </c>
      <c r="Z241" s="18">
        <f t="shared" si="131"/>
        <v>359.45384168277548</v>
      </c>
      <c r="AA241" s="18">
        <f t="shared" si="132"/>
        <v>359.30994677821695</v>
      </c>
      <c r="AB241" s="18">
        <f t="shared" si="133"/>
        <v>319.26759150752309</v>
      </c>
      <c r="AC241" s="19"/>
      <c r="AD241" s="20"/>
      <c r="AE241" s="15"/>
      <c r="AF241" s="42"/>
      <c r="AG241" s="42"/>
      <c r="AH241" s="42"/>
      <c r="AI241" s="42"/>
      <c r="AJ241" s="42"/>
      <c r="AK241" s="42"/>
      <c r="AL241" s="43"/>
      <c r="AM241" s="21"/>
      <c r="AN241" s="21"/>
      <c r="AO241" s="21"/>
      <c r="AP241" s="21"/>
      <c r="AQ241" s="21"/>
      <c r="AR241" s="21"/>
      <c r="AS241" s="21"/>
    </row>
    <row r="242" spans="1:86">
      <c r="C242" s="16" t="s">
        <v>36</v>
      </c>
      <c r="D242" s="17" t="s">
        <v>32</v>
      </c>
      <c r="E242" s="18">
        <v>502.63667614212426</v>
      </c>
      <c r="F242" s="18">
        <v>469.84082178099209</v>
      </c>
      <c r="G242" s="18">
        <v>407.51129265170192</v>
      </c>
      <c r="H242" s="18">
        <v>417.23210965494837</v>
      </c>
      <c r="I242" s="18">
        <v>345.081188955735</v>
      </c>
      <c r="J242" s="18">
        <v>361.78598714812853</v>
      </c>
      <c r="L242" s="16" t="s">
        <v>36</v>
      </c>
      <c r="M242" s="17" t="s">
        <v>32</v>
      </c>
      <c r="N242" s="18">
        <v>652.11157004386814</v>
      </c>
      <c r="O242" s="18">
        <v>525.388154261419</v>
      </c>
      <c r="P242" s="18">
        <v>425.77500050859294</v>
      </c>
      <c r="Q242" s="18">
        <v>366.37332487004585</v>
      </c>
      <c r="R242" s="18">
        <v>319.71192876631915</v>
      </c>
      <c r="S242" s="18">
        <v>707.60517460205858</v>
      </c>
      <c r="U242" s="16" t="s">
        <v>36</v>
      </c>
      <c r="V242" s="17" t="s">
        <v>32</v>
      </c>
      <c r="W242" s="18">
        <f t="shared" si="134"/>
        <v>1154.7482461859925</v>
      </c>
      <c r="X242" s="18">
        <f t="shared" si="129"/>
        <v>995.22897604241109</v>
      </c>
      <c r="Y242" s="18">
        <f t="shared" si="130"/>
        <v>833.28629316029492</v>
      </c>
      <c r="Z242" s="18">
        <f t="shared" si="131"/>
        <v>783.60543452499428</v>
      </c>
      <c r="AA242" s="18">
        <f t="shared" si="132"/>
        <v>664.79311772205415</v>
      </c>
      <c r="AB242" s="18">
        <f t="shared" si="133"/>
        <v>1069.3911617501872</v>
      </c>
      <c r="AC242" s="19"/>
      <c r="AD242" s="20"/>
      <c r="AE242" s="15"/>
      <c r="AF242" s="42"/>
      <c r="AG242" s="42"/>
      <c r="AH242" s="42"/>
      <c r="AI242" s="42"/>
      <c r="AJ242" s="42"/>
      <c r="AK242" s="42"/>
      <c r="AL242" s="43"/>
      <c r="AM242" s="21"/>
      <c r="AN242" s="21"/>
      <c r="AO242" s="21"/>
      <c r="AP242" s="21"/>
      <c r="AQ242" s="21"/>
      <c r="AR242" s="21"/>
      <c r="AS242" s="21"/>
    </row>
    <row r="243" spans="1:86">
      <c r="C243" s="16" t="s">
        <v>37</v>
      </c>
      <c r="D243" s="17" t="s">
        <v>32</v>
      </c>
      <c r="E243" s="18">
        <v>129.85415168582233</v>
      </c>
      <c r="F243" s="18">
        <v>135.8874537314216</v>
      </c>
      <c r="G243" s="18">
        <v>106.57822730544825</v>
      </c>
      <c r="H243" s="18">
        <v>115.57182970145496</v>
      </c>
      <c r="I243" s="18">
        <v>53.454226802564399</v>
      </c>
      <c r="J243" s="18">
        <v>41.952696935865546</v>
      </c>
      <c r="L243" s="16" t="s">
        <v>37</v>
      </c>
      <c r="M243" s="17" t="s">
        <v>32</v>
      </c>
      <c r="N243" s="18">
        <v>131.47561246721963</v>
      </c>
      <c r="O243" s="18">
        <v>138.20084379128178</v>
      </c>
      <c r="P243" s="18">
        <v>106.43264992700892</v>
      </c>
      <c r="Q243" s="18">
        <v>157.04425603514795</v>
      </c>
      <c r="R243" s="18">
        <v>67.913472566606202</v>
      </c>
      <c r="S243" s="18">
        <v>87.030929772019647</v>
      </c>
      <c r="U243" s="16" t="s">
        <v>37</v>
      </c>
      <c r="V243" s="17" t="s">
        <v>32</v>
      </c>
      <c r="W243" s="18">
        <f t="shared" si="134"/>
        <v>261.32976415304199</v>
      </c>
      <c r="X243" s="18">
        <f t="shared" si="129"/>
        <v>274.08829752270339</v>
      </c>
      <c r="Y243" s="18">
        <f t="shared" si="130"/>
        <v>213.01087723245718</v>
      </c>
      <c r="Z243" s="18">
        <f t="shared" si="131"/>
        <v>272.61608573660294</v>
      </c>
      <c r="AA243" s="18">
        <f t="shared" si="132"/>
        <v>121.36769936917059</v>
      </c>
      <c r="AB243" s="18">
        <f t="shared" si="133"/>
        <v>128.98362670788521</v>
      </c>
      <c r="AC243" s="19"/>
      <c r="AD243" s="20"/>
      <c r="AE243" s="15"/>
      <c r="AF243" s="42"/>
      <c r="AG243" s="42"/>
      <c r="AH243" s="42"/>
      <c r="AI243" s="42"/>
      <c r="AJ243" s="42"/>
      <c r="AK243" s="42"/>
      <c r="AL243" s="43"/>
      <c r="AM243" s="21"/>
      <c r="AN243" s="21"/>
      <c r="AO243" s="21"/>
      <c r="AP243" s="21"/>
      <c r="AQ243" s="21"/>
      <c r="AR243" s="21"/>
      <c r="AS243" s="21"/>
    </row>
    <row r="244" spans="1:86">
      <c r="C244" s="16" t="s">
        <v>38</v>
      </c>
      <c r="D244" s="17" t="s">
        <v>32</v>
      </c>
      <c r="E244" s="18">
        <v>260.56836673823551</v>
      </c>
      <c r="F244" s="18">
        <v>308.40873409314094</v>
      </c>
      <c r="G244" s="18">
        <v>350.56644550385187</v>
      </c>
      <c r="H244" s="18">
        <v>292.18241136390429</v>
      </c>
      <c r="I244" s="18">
        <v>276.24417622975216</v>
      </c>
      <c r="J244" s="18">
        <v>252.91786996101169</v>
      </c>
      <c r="L244" s="16" t="s">
        <v>38</v>
      </c>
      <c r="M244" s="17" t="s">
        <v>32</v>
      </c>
      <c r="N244" s="18">
        <v>257.10185679749816</v>
      </c>
      <c r="O244" s="18">
        <v>280.00007998991487</v>
      </c>
      <c r="P244" s="18">
        <v>296.77806974193237</v>
      </c>
      <c r="Q244" s="18">
        <v>273.31878955959604</v>
      </c>
      <c r="R244" s="18">
        <v>292.96118543972466</v>
      </c>
      <c r="S244" s="18">
        <v>281.84036773901533</v>
      </c>
      <c r="U244" s="16" t="s">
        <v>38</v>
      </c>
      <c r="V244" s="17" t="s">
        <v>32</v>
      </c>
      <c r="W244" s="18">
        <f t="shared" si="134"/>
        <v>517.67022353573361</v>
      </c>
      <c r="X244" s="18">
        <f t="shared" si="129"/>
        <v>588.40881408305586</v>
      </c>
      <c r="Y244" s="18">
        <f t="shared" si="130"/>
        <v>647.34451524578424</v>
      </c>
      <c r="Z244" s="18">
        <f t="shared" si="131"/>
        <v>565.50120092350039</v>
      </c>
      <c r="AA244" s="18">
        <f t="shared" si="132"/>
        <v>569.20536166947682</v>
      </c>
      <c r="AB244" s="18">
        <f t="shared" si="133"/>
        <v>534.75823770002705</v>
      </c>
      <c r="AC244" s="19"/>
      <c r="AD244" s="20"/>
      <c r="AE244" s="15"/>
      <c r="AF244" s="42"/>
      <c r="AG244" s="42"/>
      <c r="AH244" s="42"/>
      <c r="AI244" s="42"/>
      <c r="AJ244" s="42"/>
      <c r="AK244" s="42"/>
      <c r="AL244" s="43"/>
      <c r="AM244" s="21"/>
      <c r="AN244" s="21"/>
      <c r="AO244" s="21"/>
      <c r="AP244" s="21"/>
      <c r="AQ244" s="21"/>
      <c r="AR244" s="21"/>
      <c r="AS244" s="21"/>
    </row>
    <row r="245" spans="1:86">
      <c r="C245" s="16" t="s">
        <v>39</v>
      </c>
      <c r="D245" s="17" t="s">
        <v>32</v>
      </c>
      <c r="E245" s="35">
        <v>7.6382335553754496E-2</v>
      </c>
      <c r="F245" s="35">
        <v>8.7034500817738267E-2</v>
      </c>
      <c r="G245" s="35">
        <v>8.9957193956550871E-2</v>
      </c>
      <c r="H245" s="35">
        <v>9.1726441920520332E-2</v>
      </c>
      <c r="I245" s="35">
        <v>8.8968640326696491E-2</v>
      </c>
      <c r="J245" s="35">
        <v>8.8174380974896896E-2</v>
      </c>
      <c r="L245" s="16" t="s">
        <v>39</v>
      </c>
      <c r="M245" s="17" t="s">
        <v>32</v>
      </c>
      <c r="N245" s="18">
        <v>0.15660633979994826</v>
      </c>
      <c r="O245" s="18">
        <v>0.17029908996756152</v>
      </c>
      <c r="P245" s="18">
        <v>0.15908517979158926</v>
      </c>
      <c r="Q245" s="18">
        <v>0.16405898402469662</v>
      </c>
      <c r="R245" s="18">
        <v>0.14359390261057059</v>
      </c>
      <c r="S245" s="18">
        <v>0.16312710289564583</v>
      </c>
      <c r="U245" s="16" t="s">
        <v>39</v>
      </c>
      <c r="V245" s="17" t="s">
        <v>32</v>
      </c>
      <c r="W245" s="18">
        <f t="shared" si="134"/>
        <v>0.23298867535370277</v>
      </c>
      <c r="X245" s="18">
        <f t="shared" si="129"/>
        <v>0.25733359078529977</v>
      </c>
      <c r="Y245" s="18">
        <f t="shared" si="130"/>
        <v>0.24904237374814014</v>
      </c>
      <c r="Z245" s="18">
        <f t="shared" si="131"/>
        <v>0.25578542594521697</v>
      </c>
      <c r="AA245" s="18">
        <f t="shared" si="132"/>
        <v>0.23256254293726708</v>
      </c>
      <c r="AB245" s="18">
        <f t="shared" si="133"/>
        <v>0.25130148387054274</v>
      </c>
      <c r="AC245" s="19"/>
      <c r="AD245" s="20"/>
      <c r="AE245" s="15"/>
      <c r="AF245" s="42"/>
      <c r="AG245" s="42"/>
      <c r="AH245" s="42"/>
      <c r="AI245" s="42"/>
      <c r="AJ245" s="42"/>
      <c r="AK245" s="42"/>
      <c r="AL245" s="43"/>
      <c r="AM245" s="21"/>
      <c r="AN245" s="21"/>
      <c r="AO245" s="21"/>
      <c r="AP245" s="21"/>
      <c r="AQ245" s="21"/>
      <c r="AR245" s="21"/>
      <c r="AS245" s="21"/>
    </row>
    <row r="246" spans="1:86">
      <c r="A246" s="22"/>
      <c r="C246" s="23" t="s">
        <v>40</v>
      </c>
      <c r="D246" s="17" t="s">
        <v>32</v>
      </c>
      <c r="E246" s="24">
        <v>8408.874603595028</v>
      </c>
      <c r="F246" s="24">
        <v>8539.9863419063058</v>
      </c>
      <c r="G246" s="24">
        <v>8420.8619950889624</v>
      </c>
      <c r="H246" s="24">
        <v>2650.9401548249471</v>
      </c>
      <c r="I246" s="24">
        <v>2336.1495070961369</v>
      </c>
      <c r="J246" s="24">
        <v>2169.1954205425291</v>
      </c>
      <c r="L246" s="23" t="s">
        <v>40</v>
      </c>
      <c r="M246" s="17" t="s">
        <v>32</v>
      </c>
      <c r="N246" s="24">
        <v>2145.4879579151229</v>
      </c>
      <c r="O246" s="24">
        <v>2135.7855177305819</v>
      </c>
      <c r="P246" s="24">
        <v>2059.6864241055096</v>
      </c>
      <c r="Q246" s="24">
        <v>2068.9815062819043</v>
      </c>
      <c r="R246" s="24">
        <v>2057.962857878254</v>
      </c>
      <c r="S246" s="24">
        <v>2401.9818737885448</v>
      </c>
      <c r="U246" s="23" t="s">
        <v>40</v>
      </c>
      <c r="V246" s="17" t="s">
        <v>32</v>
      </c>
      <c r="W246" s="24">
        <f>SUM(W238:W245)</f>
        <v>10554.362561510152</v>
      </c>
      <c r="X246" s="24">
        <f t="shared" ref="X246:AB246" si="135">SUM(X238:X245)</f>
        <v>10675.771859636889</v>
      </c>
      <c r="Y246" s="24">
        <f t="shared" si="135"/>
        <v>10480.548419194471</v>
      </c>
      <c r="Z246" s="24">
        <f t="shared" si="135"/>
        <v>4719.9216611068514</v>
      </c>
      <c r="AA246" s="24">
        <f t="shared" si="135"/>
        <v>4394.1123649743913</v>
      </c>
      <c r="AB246" s="24">
        <f t="shared" si="135"/>
        <v>4571.1772943310743</v>
      </c>
      <c r="AC246" s="25"/>
      <c r="AD246" s="26"/>
      <c r="AE246" s="15"/>
      <c r="AF246" s="44"/>
      <c r="AG246" s="44"/>
      <c r="AH246" s="44"/>
      <c r="AI246" s="44"/>
      <c r="AJ246" s="44"/>
      <c r="AK246" s="44"/>
      <c r="AL246" s="45"/>
      <c r="AM246" s="27"/>
      <c r="AN246" s="27"/>
      <c r="AO246" s="27"/>
      <c r="AP246" s="27"/>
      <c r="AQ246" s="27"/>
      <c r="AR246" s="27"/>
      <c r="AS246" s="27"/>
    </row>
    <row r="248" spans="1:86">
      <c r="C248" s="9" t="s">
        <v>6</v>
      </c>
      <c r="D248" s="9"/>
      <c r="E248" s="9"/>
      <c r="F248" s="9"/>
      <c r="G248" s="9"/>
      <c r="H248" s="9"/>
      <c r="I248" s="9"/>
      <c r="J248" s="9"/>
      <c r="L248" s="9" t="s">
        <v>6</v>
      </c>
      <c r="M248" s="9"/>
      <c r="N248" s="9"/>
      <c r="O248" s="9"/>
      <c r="P248" s="9"/>
      <c r="Q248" s="9"/>
      <c r="R248" s="9"/>
      <c r="S248" s="9"/>
      <c r="U248" s="9" t="str">
        <f>L248</f>
        <v>Molybdenum</v>
      </c>
      <c r="V248" s="9"/>
      <c r="W248" s="9"/>
      <c r="X248" s="9"/>
      <c r="Y248" s="9"/>
      <c r="Z248" s="9"/>
      <c r="AA248" s="9"/>
      <c r="AB248" s="9"/>
      <c r="AC248" s="8"/>
      <c r="AD248" s="10"/>
      <c r="AE248" s="10"/>
      <c r="AF248" s="10"/>
      <c r="AG248" s="10"/>
      <c r="AH248" s="10"/>
      <c r="AI248" s="10"/>
      <c r="AJ248" s="10"/>
      <c r="AK248" s="10"/>
      <c r="AL248" s="8"/>
      <c r="AM248" s="10"/>
      <c r="AN248" s="10"/>
      <c r="AO248" s="10"/>
      <c r="AP248" s="10"/>
      <c r="AQ248" s="10"/>
      <c r="AR248" s="10"/>
      <c r="AS248" s="10"/>
    </row>
    <row r="249" spans="1:86" s="15" customFormat="1">
      <c r="A249" s="11"/>
      <c r="B249" s="11"/>
      <c r="C249" s="60" t="s">
        <v>59</v>
      </c>
      <c r="D249" s="60" t="s">
        <v>11</v>
      </c>
      <c r="E249" s="61">
        <v>2020</v>
      </c>
      <c r="F249" s="61">
        <v>2021</v>
      </c>
      <c r="G249" s="61">
        <v>2022</v>
      </c>
      <c r="H249" s="61">
        <v>2023</v>
      </c>
      <c r="I249" s="61">
        <v>2024</v>
      </c>
      <c r="J249" s="61">
        <v>2025</v>
      </c>
      <c r="K249" s="11"/>
      <c r="L249" s="60" t="s">
        <v>59</v>
      </c>
      <c r="M249" s="60" t="s">
        <v>11</v>
      </c>
      <c r="N249" s="61">
        <v>2020</v>
      </c>
      <c r="O249" s="61">
        <v>2021</v>
      </c>
      <c r="P249" s="61">
        <v>2022</v>
      </c>
      <c r="Q249" s="61">
        <v>2023</v>
      </c>
      <c r="R249" s="61">
        <v>2024</v>
      </c>
      <c r="S249" s="61">
        <v>2025</v>
      </c>
      <c r="T249" s="11"/>
      <c r="U249" s="60" t="s">
        <v>59</v>
      </c>
      <c r="V249" s="60" t="s">
        <v>11</v>
      </c>
      <c r="W249" s="61">
        <v>2020</v>
      </c>
      <c r="X249" s="61">
        <v>2021</v>
      </c>
      <c r="Y249" s="61">
        <v>2022</v>
      </c>
      <c r="Z249" s="61">
        <v>2023</v>
      </c>
      <c r="AA249" s="61">
        <v>2024</v>
      </c>
      <c r="AB249" s="61">
        <v>2025</v>
      </c>
      <c r="AC249" s="12"/>
      <c r="AD249" s="11"/>
      <c r="AE249" s="11"/>
      <c r="AF249" s="13"/>
      <c r="AG249" s="13"/>
      <c r="AH249" s="13"/>
      <c r="AI249" s="13"/>
      <c r="AJ249" s="13"/>
      <c r="AK249" s="13"/>
      <c r="AL249" s="12"/>
      <c r="AM249" s="13"/>
      <c r="AN249" s="13"/>
      <c r="AO249" s="13"/>
      <c r="AP249" s="13"/>
      <c r="AQ249" s="13"/>
      <c r="AR249" s="13"/>
      <c r="AS249" s="13"/>
      <c r="AT249" s="11"/>
      <c r="AU249" s="11"/>
      <c r="AV249" s="11"/>
      <c r="AW249" s="11"/>
      <c r="AX249" s="11"/>
      <c r="AY249" s="11"/>
      <c r="AZ249" s="11"/>
      <c r="BA249" s="11"/>
      <c r="BB249" s="11"/>
      <c r="BC249" s="11"/>
      <c r="BD249" s="14"/>
      <c r="BE249" s="11"/>
      <c r="BF249" s="11"/>
      <c r="BG249" s="11"/>
      <c r="BH249" s="11"/>
      <c r="BI249" s="11"/>
      <c r="BJ249" s="11"/>
      <c r="BK249" s="11"/>
      <c r="BL249" s="11"/>
      <c r="BM249" s="11"/>
      <c r="BN249" s="11"/>
      <c r="BO249" s="11"/>
      <c r="BP249" s="11"/>
      <c r="BQ249" s="11"/>
      <c r="BR249" s="11"/>
      <c r="BS249" s="11"/>
      <c r="BT249" s="11"/>
      <c r="BU249" s="11"/>
      <c r="BV249" s="11"/>
      <c r="BW249" s="11"/>
      <c r="BX249" s="11"/>
      <c r="BY249" s="11"/>
      <c r="BZ249" s="11"/>
      <c r="CA249" s="11"/>
      <c r="CB249" s="11"/>
      <c r="CC249" s="11"/>
      <c r="CD249" s="11"/>
      <c r="CE249" s="11"/>
      <c r="CF249" s="11"/>
      <c r="CG249" s="11"/>
      <c r="CH249" s="11"/>
    </row>
    <row r="250" spans="1:86">
      <c r="A250" s="11"/>
      <c r="B250" s="11"/>
      <c r="C250" s="16" t="s">
        <v>31</v>
      </c>
      <c r="D250" s="17" t="s">
        <v>32</v>
      </c>
      <c r="E250" s="18">
        <v>94.495043285341922</v>
      </c>
      <c r="F250" s="18">
        <v>69.493549033051806</v>
      </c>
      <c r="G250" s="18">
        <v>62.218631376283831</v>
      </c>
      <c r="H250" s="18">
        <v>63.54981143019198</v>
      </c>
      <c r="I250" s="18">
        <v>53.742029726168695</v>
      </c>
      <c r="J250" s="18">
        <v>60.799499755379159</v>
      </c>
      <c r="K250" s="11"/>
      <c r="L250" s="16" t="s">
        <v>31</v>
      </c>
      <c r="M250" s="17" t="s">
        <v>32</v>
      </c>
      <c r="N250" s="18">
        <v>72.145971119065536</v>
      </c>
      <c r="O250" s="18">
        <v>80.439242087530033</v>
      </c>
      <c r="P250" s="18">
        <v>80.383813288777461</v>
      </c>
      <c r="Q250" s="18">
        <v>87.664784956177769</v>
      </c>
      <c r="R250" s="18">
        <v>50.762819524034491</v>
      </c>
      <c r="S250" s="18">
        <v>55.697424507025119</v>
      </c>
      <c r="T250" s="11"/>
      <c r="U250" s="16" t="s">
        <v>31</v>
      </c>
      <c r="V250" s="17" t="s">
        <v>32</v>
      </c>
      <c r="W250" s="18">
        <f>E250+N250</f>
        <v>166.64101440440746</v>
      </c>
      <c r="X250" s="18">
        <f t="shared" ref="X250:X257" si="136">F250+O250</f>
        <v>149.93279112058184</v>
      </c>
      <c r="Y250" s="18">
        <f t="shared" ref="Y250:Y257" si="137">G250+P250</f>
        <v>142.60244466506128</v>
      </c>
      <c r="Z250" s="18">
        <f t="shared" ref="Z250:Z257" si="138">H250+Q250</f>
        <v>151.21459638636975</v>
      </c>
      <c r="AA250" s="18">
        <f t="shared" ref="AA250:AA257" si="139">I250+R250</f>
        <v>104.50484925020319</v>
      </c>
      <c r="AB250" s="18">
        <f t="shared" ref="AB250:AB257" si="140">J250+S250</f>
        <v>116.49692426240428</v>
      </c>
      <c r="AC250" s="19"/>
      <c r="AD250" s="20"/>
      <c r="AE250" s="15"/>
      <c r="AF250" s="21"/>
      <c r="AG250" s="21"/>
      <c r="AH250" s="21"/>
      <c r="AI250" s="21"/>
      <c r="AJ250" s="21"/>
      <c r="AK250" s="21"/>
      <c r="AL250" s="19"/>
      <c r="AM250" s="21"/>
      <c r="AN250" s="21"/>
      <c r="AO250" s="21"/>
      <c r="AP250" s="21"/>
      <c r="AQ250" s="21"/>
      <c r="AR250" s="21"/>
      <c r="AS250" s="21"/>
      <c r="AT250" s="11"/>
      <c r="AU250" s="11"/>
      <c r="AV250" s="11"/>
      <c r="AW250" s="11"/>
      <c r="AX250" s="11"/>
      <c r="AY250" s="11"/>
      <c r="AZ250" s="11"/>
      <c r="BA250" s="11"/>
      <c r="BB250" s="11"/>
      <c r="BC250" s="11"/>
      <c r="BD250" s="14"/>
      <c r="BE250" s="11"/>
      <c r="BF250" s="11"/>
      <c r="BG250" s="11"/>
      <c r="BH250" s="11"/>
      <c r="BI250" s="11"/>
      <c r="BJ250" s="11"/>
      <c r="BK250" s="11"/>
      <c r="BL250" s="11"/>
      <c r="BM250" s="11"/>
      <c r="BN250" s="11"/>
      <c r="BO250" s="11"/>
      <c r="BP250" s="11"/>
      <c r="BQ250" s="11"/>
      <c r="BR250" s="11"/>
      <c r="BS250" s="11"/>
      <c r="BT250" s="11"/>
      <c r="BU250" s="11"/>
      <c r="BV250" s="11"/>
      <c r="BW250" s="11"/>
      <c r="BX250" s="11"/>
      <c r="BY250" s="11"/>
      <c r="BZ250" s="11"/>
      <c r="CA250" s="11"/>
      <c r="CB250" s="11"/>
      <c r="CC250" s="11"/>
      <c r="CD250" s="11"/>
      <c r="CE250" s="11"/>
      <c r="CF250" s="11"/>
      <c r="CG250" s="11"/>
      <c r="CH250" s="11"/>
    </row>
    <row r="251" spans="1:86">
      <c r="C251" s="16" t="s">
        <v>33</v>
      </c>
      <c r="D251" s="17" t="s">
        <v>32</v>
      </c>
      <c r="E251" s="18">
        <v>3.5904148338432162</v>
      </c>
      <c r="F251" s="18">
        <v>3.4311871709131267</v>
      </c>
      <c r="G251" s="18">
        <v>6.7905741647492794</v>
      </c>
      <c r="H251" s="18">
        <v>9.3240373285919649</v>
      </c>
      <c r="I251" s="18">
        <v>10.113334549616841</v>
      </c>
      <c r="J251" s="18">
        <v>9.6276849065171728</v>
      </c>
      <c r="L251" s="16" t="s">
        <v>33</v>
      </c>
      <c r="M251" s="17" t="s">
        <v>32</v>
      </c>
      <c r="N251" s="18">
        <v>20.74041294491024</v>
      </c>
      <c r="O251" s="18">
        <v>21.169115759273421</v>
      </c>
      <c r="P251" s="18">
        <v>44.058456749781016</v>
      </c>
      <c r="Q251" s="18">
        <v>52.365174878085213</v>
      </c>
      <c r="R251" s="18">
        <v>50.980212357491254</v>
      </c>
      <c r="S251" s="18">
        <v>47.887022574956077</v>
      </c>
      <c r="U251" s="16" t="s">
        <v>33</v>
      </c>
      <c r="V251" s="17" t="s">
        <v>32</v>
      </c>
      <c r="W251" s="18">
        <f t="shared" ref="W251:W257" si="141">E251+N251</f>
        <v>24.330827778753456</v>
      </c>
      <c r="X251" s="18">
        <f t="shared" si="136"/>
        <v>24.600302930186547</v>
      </c>
      <c r="Y251" s="18">
        <f t="shared" si="137"/>
        <v>50.849030914530296</v>
      </c>
      <c r="Z251" s="18">
        <f t="shared" si="138"/>
        <v>61.689212206677176</v>
      </c>
      <c r="AA251" s="18">
        <f t="shared" si="139"/>
        <v>61.093546907108092</v>
      </c>
      <c r="AB251" s="18">
        <f t="shared" si="140"/>
        <v>57.514707481473252</v>
      </c>
      <c r="AC251" s="19"/>
      <c r="AD251" s="20"/>
      <c r="AE251" s="15"/>
      <c r="AF251" s="21"/>
      <c r="AG251" s="21"/>
      <c r="AH251" s="21"/>
      <c r="AI251" s="21"/>
      <c r="AJ251" s="21"/>
      <c r="AK251" s="21"/>
      <c r="AL251" s="19"/>
      <c r="AM251" s="21"/>
      <c r="AN251" s="21"/>
      <c r="AO251" s="21"/>
      <c r="AP251" s="21"/>
      <c r="AQ251" s="21"/>
      <c r="AR251" s="21"/>
      <c r="AS251" s="21"/>
    </row>
    <row r="252" spans="1:86">
      <c r="C252" s="16" t="s">
        <v>34</v>
      </c>
      <c r="D252" s="17" t="s">
        <v>32</v>
      </c>
      <c r="E252" s="18">
        <v>113.916234064843</v>
      </c>
      <c r="F252" s="18">
        <v>90.105797603188577</v>
      </c>
      <c r="G252" s="18">
        <v>106.08800595686371</v>
      </c>
      <c r="H252" s="18">
        <v>105.18987158796736</v>
      </c>
      <c r="I252" s="18">
        <v>88.60665561305521</v>
      </c>
      <c r="J252" s="18">
        <v>97.309874973101572</v>
      </c>
      <c r="L252" s="16" t="s">
        <v>34</v>
      </c>
      <c r="M252" s="17" t="s">
        <v>32</v>
      </c>
      <c r="N252" s="18">
        <v>236.16437706549937</v>
      </c>
      <c r="O252" s="18">
        <v>136.49424842050149</v>
      </c>
      <c r="P252" s="18">
        <v>91.669599379522381</v>
      </c>
      <c r="Q252" s="18">
        <v>44.637032174015808</v>
      </c>
      <c r="R252" s="18">
        <v>37.366282820716393</v>
      </c>
      <c r="S252" s="18">
        <v>42.910388381540812</v>
      </c>
      <c r="U252" s="16" t="s">
        <v>34</v>
      </c>
      <c r="V252" s="17" t="s">
        <v>32</v>
      </c>
      <c r="W252" s="18">
        <f t="shared" si="141"/>
        <v>350.08061113034239</v>
      </c>
      <c r="X252" s="18">
        <f t="shared" si="136"/>
        <v>226.60004602369008</v>
      </c>
      <c r="Y252" s="18">
        <f t="shared" si="137"/>
        <v>197.75760533638609</v>
      </c>
      <c r="Z252" s="18">
        <f t="shared" si="138"/>
        <v>149.82690376198317</v>
      </c>
      <c r="AA252" s="18">
        <f t="shared" si="139"/>
        <v>125.9729384337716</v>
      </c>
      <c r="AB252" s="18">
        <f t="shared" si="140"/>
        <v>140.22026335464238</v>
      </c>
      <c r="AC252" s="19"/>
      <c r="AD252" s="20"/>
      <c r="AE252" s="15"/>
      <c r="AF252" s="21"/>
      <c r="AG252" s="21"/>
      <c r="AH252" s="21"/>
      <c r="AI252" s="21"/>
      <c r="AJ252" s="21"/>
      <c r="AK252" s="21"/>
      <c r="AL252" s="19"/>
      <c r="AM252" s="21"/>
      <c r="AN252" s="21"/>
      <c r="AO252" s="21"/>
      <c r="AP252" s="21"/>
      <c r="AQ252" s="21"/>
      <c r="AR252" s="21"/>
      <c r="AS252" s="21"/>
    </row>
    <row r="253" spans="1:86">
      <c r="C253" s="16" t="s">
        <v>35</v>
      </c>
      <c r="D253" s="17" t="s">
        <v>32</v>
      </c>
      <c r="E253" s="18">
        <v>98.054762160465856</v>
      </c>
      <c r="F253" s="18">
        <v>103.07452799440063</v>
      </c>
      <c r="G253" s="18">
        <v>134.55897024661834</v>
      </c>
      <c r="H253" s="18">
        <v>150.16713663339291</v>
      </c>
      <c r="I253" s="18">
        <v>159.49530097479317</v>
      </c>
      <c r="J253" s="18">
        <v>260.30039135082342</v>
      </c>
      <c r="L253" s="16" t="s">
        <v>35</v>
      </c>
      <c r="M253" s="17" t="s">
        <v>32</v>
      </c>
      <c r="N253" s="18">
        <v>392.9043164147418</v>
      </c>
      <c r="O253" s="18">
        <v>399.42169648472202</v>
      </c>
      <c r="P253" s="18">
        <v>389.34386956911635</v>
      </c>
      <c r="Q253" s="18">
        <v>316.98316348730083</v>
      </c>
      <c r="R253" s="18">
        <v>335.52444547267697</v>
      </c>
      <c r="S253" s="18">
        <v>338.53301412766973</v>
      </c>
      <c r="U253" s="16" t="s">
        <v>35</v>
      </c>
      <c r="V253" s="17" t="s">
        <v>32</v>
      </c>
      <c r="W253" s="18">
        <f t="shared" si="141"/>
        <v>490.95907857520763</v>
      </c>
      <c r="X253" s="18">
        <f t="shared" si="136"/>
        <v>502.49622447912265</v>
      </c>
      <c r="Y253" s="18">
        <f t="shared" si="137"/>
        <v>523.90283981573475</v>
      </c>
      <c r="Z253" s="18">
        <f t="shared" si="138"/>
        <v>467.15030012069371</v>
      </c>
      <c r="AA253" s="18">
        <f t="shared" si="139"/>
        <v>495.01974644747014</v>
      </c>
      <c r="AB253" s="18">
        <f t="shared" si="140"/>
        <v>598.83340547849321</v>
      </c>
      <c r="AC253" s="19"/>
      <c r="AD253" s="20"/>
      <c r="AE253" s="15"/>
      <c r="AF253" s="21"/>
      <c r="AG253" s="21"/>
      <c r="AH253" s="21"/>
      <c r="AI253" s="21"/>
      <c r="AJ253" s="21"/>
      <c r="AK253" s="21"/>
      <c r="AL253" s="19"/>
      <c r="AM253" s="46"/>
      <c r="AN253" s="46"/>
      <c r="AO253" s="46"/>
      <c r="AP253" s="46"/>
      <c r="AQ253" s="46"/>
      <c r="AR253" s="46"/>
      <c r="AS253" s="46"/>
    </row>
    <row r="254" spans="1:86">
      <c r="C254" s="16" t="s">
        <v>36</v>
      </c>
      <c r="D254" s="17" t="s">
        <v>32</v>
      </c>
      <c r="E254" s="18">
        <v>0</v>
      </c>
      <c r="F254" s="18">
        <v>0</v>
      </c>
      <c r="G254" s="18">
        <v>0</v>
      </c>
      <c r="H254" s="18">
        <v>0</v>
      </c>
      <c r="I254" s="18">
        <v>0</v>
      </c>
      <c r="J254" s="18">
        <v>0</v>
      </c>
      <c r="L254" s="16" t="s">
        <v>36</v>
      </c>
      <c r="M254" s="17" t="s">
        <v>32</v>
      </c>
      <c r="N254" s="18">
        <v>0</v>
      </c>
      <c r="O254" s="18">
        <v>0</v>
      </c>
      <c r="P254" s="18">
        <v>0</v>
      </c>
      <c r="Q254" s="18">
        <v>0</v>
      </c>
      <c r="R254" s="18">
        <v>0</v>
      </c>
      <c r="S254" s="18">
        <v>0</v>
      </c>
      <c r="U254" s="16" t="s">
        <v>36</v>
      </c>
      <c r="V254" s="17" t="s">
        <v>32</v>
      </c>
      <c r="W254" s="18">
        <f t="shared" si="141"/>
        <v>0</v>
      </c>
      <c r="X254" s="18">
        <f t="shared" si="136"/>
        <v>0</v>
      </c>
      <c r="Y254" s="18">
        <f t="shared" si="137"/>
        <v>0</v>
      </c>
      <c r="Z254" s="18">
        <f t="shared" si="138"/>
        <v>0</v>
      </c>
      <c r="AA254" s="18">
        <f t="shared" si="139"/>
        <v>0</v>
      </c>
      <c r="AB254" s="18">
        <f t="shared" si="140"/>
        <v>0</v>
      </c>
      <c r="AC254" s="19"/>
      <c r="AD254" s="20"/>
      <c r="AE254" s="15"/>
      <c r="AF254" s="21"/>
      <c r="AG254" s="21"/>
      <c r="AH254" s="21"/>
      <c r="AI254" s="21"/>
      <c r="AJ254" s="21"/>
      <c r="AK254" s="21"/>
      <c r="AL254" s="19"/>
      <c r="AM254" s="46"/>
      <c r="AN254" s="46"/>
      <c r="AO254" s="46"/>
      <c r="AP254" s="46"/>
      <c r="AQ254" s="46"/>
      <c r="AR254" s="46"/>
      <c r="AS254" s="46"/>
    </row>
    <row r="255" spans="1:86">
      <c r="C255" s="16" t="s">
        <v>37</v>
      </c>
      <c r="D255" s="17" t="s">
        <v>32</v>
      </c>
      <c r="E255" s="18">
        <v>0</v>
      </c>
      <c r="F255" s="18">
        <v>0</v>
      </c>
      <c r="G255" s="18">
        <v>0</v>
      </c>
      <c r="H255" s="18">
        <v>0</v>
      </c>
      <c r="I255" s="18">
        <v>0</v>
      </c>
      <c r="J255" s="18">
        <v>0</v>
      </c>
      <c r="L255" s="16" t="s">
        <v>37</v>
      </c>
      <c r="M255" s="17" t="s">
        <v>32</v>
      </c>
      <c r="N255" s="18">
        <v>0</v>
      </c>
      <c r="O255" s="18">
        <v>0</v>
      </c>
      <c r="P255" s="18">
        <v>0</v>
      </c>
      <c r="Q255" s="18">
        <v>0</v>
      </c>
      <c r="R255" s="18">
        <v>0</v>
      </c>
      <c r="S255" s="18">
        <v>0</v>
      </c>
      <c r="U255" s="16" t="s">
        <v>37</v>
      </c>
      <c r="V255" s="17" t="s">
        <v>32</v>
      </c>
      <c r="W255" s="18">
        <f t="shared" si="141"/>
        <v>0</v>
      </c>
      <c r="X255" s="18">
        <f t="shared" si="136"/>
        <v>0</v>
      </c>
      <c r="Y255" s="18">
        <f t="shared" si="137"/>
        <v>0</v>
      </c>
      <c r="Z255" s="18">
        <f t="shared" si="138"/>
        <v>0</v>
      </c>
      <c r="AA255" s="18">
        <f t="shared" si="139"/>
        <v>0</v>
      </c>
      <c r="AB255" s="18">
        <f t="shared" si="140"/>
        <v>0</v>
      </c>
      <c r="AC255" s="19"/>
      <c r="AD255" s="20"/>
      <c r="AE255" s="15"/>
      <c r="AF255" s="21"/>
      <c r="AG255" s="21"/>
      <c r="AH255" s="21"/>
      <c r="AI255" s="21"/>
      <c r="AJ255" s="21"/>
      <c r="AK255" s="21"/>
      <c r="AL255" s="19"/>
      <c r="AM255" s="46"/>
      <c r="AN255" s="46"/>
      <c r="AO255" s="46"/>
      <c r="AP255" s="46"/>
      <c r="AQ255" s="46"/>
      <c r="AR255" s="46"/>
      <c r="AS255" s="46"/>
    </row>
    <row r="256" spans="1:86">
      <c r="C256" s="16" t="s">
        <v>38</v>
      </c>
      <c r="D256" s="17" t="s">
        <v>32</v>
      </c>
      <c r="E256" s="18">
        <v>0</v>
      </c>
      <c r="F256" s="18">
        <v>0</v>
      </c>
      <c r="G256" s="18">
        <v>0.44684914801929526</v>
      </c>
      <c r="H256" s="18">
        <v>0.99885595129412774</v>
      </c>
      <c r="I256" s="18">
        <v>1.0586585387363061</v>
      </c>
      <c r="J256" s="18">
        <v>1.2301008224005405</v>
      </c>
      <c r="L256" s="16" t="s">
        <v>38</v>
      </c>
      <c r="M256" s="17" t="s">
        <v>32</v>
      </c>
      <c r="N256" s="18">
        <v>0</v>
      </c>
      <c r="O256" s="18">
        <v>0</v>
      </c>
      <c r="P256" s="18">
        <v>7.1173150281903723</v>
      </c>
      <c r="Q256" s="18">
        <v>14.876337020168739</v>
      </c>
      <c r="R256" s="18">
        <v>9.08501308010249</v>
      </c>
      <c r="S256" s="18">
        <v>10.350551134455474</v>
      </c>
      <c r="U256" s="16" t="s">
        <v>38</v>
      </c>
      <c r="V256" s="17" t="s">
        <v>32</v>
      </c>
      <c r="W256" s="18">
        <f t="shared" si="141"/>
        <v>0</v>
      </c>
      <c r="X256" s="18">
        <f t="shared" si="136"/>
        <v>0</v>
      </c>
      <c r="Y256" s="18">
        <f t="shared" si="137"/>
        <v>7.5641641762096672</v>
      </c>
      <c r="Z256" s="18">
        <f t="shared" si="138"/>
        <v>15.875192971462866</v>
      </c>
      <c r="AA256" s="18">
        <f t="shared" si="139"/>
        <v>10.143671618838797</v>
      </c>
      <c r="AB256" s="18">
        <f t="shared" si="140"/>
        <v>11.580651956856014</v>
      </c>
      <c r="AC256" s="19"/>
      <c r="AD256" s="20"/>
      <c r="AE256" s="15"/>
      <c r="AF256" s="21"/>
      <c r="AG256" s="21"/>
      <c r="AH256" s="21"/>
      <c r="AI256" s="21"/>
      <c r="AJ256" s="21"/>
      <c r="AK256" s="21"/>
      <c r="AL256" s="19"/>
      <c r="AM256" s="46"/>
      <c r="AN256" s="46"/>
      <c r="AO256" s="46"/>
      <c r="AP256" s="46"/>
      <c r="AQ256" s="46"/>
      <c r="AR256" s="46"/>
      <c r="AS256" s="46"/>
    </row>
    <row r="257" spans="1:86">
      <c r="C257" s="16" t="s">
        <v>39</v>
      </c>
      <c r="D257" s="17" t="s">
        <v>32</v>
      </c>
      <c r="E257" s="18">
        <v>5.0454059897344221</v>
      </c>
      <c r="F257" s="18">
        <v>5.4797037332822409</v>
      </c>
      <c r="G257" s="18">
        <v>5.9744287616567195</v>
      </c>
      <c r="H257" s="18">
        <v>9.2806869941046344</v>
      </c>
      <c r="I257" s="18">
        <v>8.5195705892481239</v>
      </c>
      <c r="J257" s="18">
        <v>7.98111381964668</v>
      </c>
      <c r="L257" s="16" t="s">
        <v>39</v>
      </c>
      <c r="M257" s="17" t="s">
        <v>32</v>
      </c>
      <c r="N257" s="18">
        <v>7.5314789595265319</v>
      </c>
      <c r="O257" s="18">
        <v>8.0158152125906064</v>
      </c>
      <c r="P257" s="18">
        <v>8.4060912120485174</v>
      </c>
      <c r="Q257" s="18">
        <v>13.242421808417374</v>
      </c>
      <c r="R257" s="18">
        <v>11.734933510768643</v>
      </c>
      <c r="S257" s="18">
        <v>11.497536565235205</v>
      </c>
      <c r="U257" s="16" t="s">
        <v>39</v>
      </c>
      <c r="V257" s="17" t="s">
        <v>32</v>
      </c>
      <c r="W257" s="18">
        <f t="shared" si="141"/>
        <v>12.576884949260954</v>
      </c>
      <c r="X257" s="18">
        <f t="shared" si="136"/>
        <v>13.495518945872847</v>
      </c>
      <c r="Y257" s="18">
        <f t="shared" si="137"/>
        <v>14.380519973705237</v>
      </c>
      <c r="Z257" s="18">
        <f t="shared" si="138"/>
        <v>22.52310880252201</v>
      </c>
      <c r="AA257" s="18">
        <f t="shared" si="139"/>
        <v>20.254504100016767</v>
      </c>
      <c r="AB257" s="18">
        <f t="shared" si="140"/>
        <v>19.478650384881885</v>
      </c>
      <c r="AC257" s="19"/>
      <c r="AD257" s="20"/>
      <c r="AE257" s="15"/>
      <c r="AF257" s="21"/>
      <c r="AG257" s="21"/>
      <c r="AH257" s="21"/>
      <c r="AI257" s="21"/>
      <c r="AJ257" s="21"/>
      <c r="AK257" s="21"/>
      <c r="AL257" s="19"/>
      <c r="AM257" s="46"/>
      <c r="AN257" s="46"/>
      <c r="AO257" s="46"/>
      <c r="AP257" s="46"/>
      <c r="AQ257" s="46"/>
      <c r="AR257" s="46"/>
      <c r="AS257" s="46"/>
    </row>
    <row r="258" spans="1:86">
      <c r="A258" s="22"/>
      <c r="C258" s="23" t="s">
        <v>40</v>
      </c>
      <c r="D258" s="17" t="s">
        <v>32</v>
      </c>
      <c r="E258" s="24">
        <v>315.10186033422843</v>
      </c>
      <c r="F258" s="24">
        <v>271.58476553483638</v>
      </c>
      <c r="G258" s="24">
        <v>316.07745965419116</v>
      </c>
      <c r="H258" s="24">
        <v>338.51039992554303</v>
      </c>
      <c r="I258" s="24">
        <v>321.53554999161838</v>
      </c>
      <c r="J258" s="24">
        <v>437.24866562786855</v>
      </c>
      <c r="L258" s="23" t="s">
        <v>40</v>
      </c>
      <c r="M258" s="17" t="s">
        <v>32</v>
      </c>
      <c r="N258" s="24">
        <v>729.48655650374349</v>
      </c>
      <c r="O258" s="24">
        <v>645.54011796461759</v>
      </c>
      <c r="P258" s="24">
        <v>620.97914522743611</v>
      </c>
      <c r="Q258" s="24">
        <v>529.76891432416573</v>
      </c>
      <c r="R258" s="24">
        <v>495.45370676579029</v>
      </c>
      <c r="S258" s="24">
        <v>506.8759372908824</v>
      </c>
      <c r="U258" s="23" t="s">
        <v>40</v>
      </c>
      <c r="V258" s="17" t="s">
        <v>32</v>
      </c>
      <c r="W258" s="24">
        <f>SUM(W250:W257)</f>
        <v>1044.5884168379721</v>
      </c>
      <c r="X258" s="24">
        <f t="shared" ref="X258:AB258" si="142">SUM(X250:X257)</f>
        <v>917.12488349945397</v>
      </c>
      <c r="Y258" s="24">
        <f t="shared" si="142"/>
        <v>937.05660488162732</v>
      </c>
      <c r="Z258" s="24">
        <f t="shared" si="142"/>
        <v>868.27931424970859</v>
      </c>
      <c r="AA258" s="24">
        <f t="shared" si="142"/>
        <v>816.98925675740861</v>
      </c>
      <c r="AB258" s="24">
        <f t="shared" si="142"/>
        <v>944.12460291875107</v>
      </c>
      <c r="AC258" s="25"/>
      <c r="AD258" s="26"/>
      <c r="AE258" s="15"/>
      <c r="AF258" s="27"/>
      <c r="AG258" s="27"/>
      <c r="AH258" s="27"/>
      <c r="AI258" s="27"/>
      <c r="AJ258" s="27"/>
      <c r="AK258" s="27"/>
      <c r="AL258" s="25"/>
      <c r="AM258" s="47"/>
      <c r="AN258" s="47"/>
      <c r="AO258" s="47"/>
      <c r="AP258" s="47"/>
      <c r="AQ258" s="47"/>
      <c r="AR258" s="47"/>
      <c r="AS258" s="47"/>
    </row>
    <row r="259" spans="1:86">
      <c r="A259" s="22"/>
      <c r="C259" s="26"/>
      <c r="D259" s="48"/>
      <c r="E259" s="47"/>
      <c r="F259" s="47"/>
      <c r="G259" s="47"/>
      <c r="H259" s="47"/>
      <c r="I259" s="47"/>
      <c r="J259" s="47"/>
      <c r="L259" s="26"/>
      <c r="M259" s="48"/>
      <c r="N259" s="47"/>
      <c r="O259" s="47"/>
      <c r="P259" s="47"/>
      <c r="Q259" s="47"/>
      <c r="R259" s="47"/>
      <c r="S259" s="47"/>
      <c r="U259" s="26"/>
      <c r="V259" s="48"/>
      <c r="W259" s="47"/>
      <c r="X259" s="47"/>
      <c r="Y259" s="47"/>
      <c r="Z259" s="47"/>
      <c r="AA259" s="47"/>
      <c r="AB259" s="47"/>
      <c r="AC259" s="25"/>
      <c r="AD259" s="26"/>
      <c r="AE259" s="15"/>
      <c r="AF259" s="27"/>
      <c r="AG259" s="27"/>
      <c r="AH259" s="27"/>
      <c r="AI259" s="27"/>
      <c r="AJ259" s="27"/>
      <c r="AK259" s="27"/>
      <c r="AL259" s="25"/>
      <c r="AM259" s="47"/>
      <c r="AN259" s="47"/>
      <c r="AO259" s="47"/>
      <c r="AP259" s="47"/>
      <c r="AQ259" s="47"/>
      <c r="AR259" s="47"/>
      <c r="AS259" s="47"/>
    </row>
    <row r="260" spans="1:86">
      <c r="C260" s="9" t="str">
        <f>C2</f>
        <v>Total Global Scope 1 Emissions</v>
      </c>
      <c r="D260" s="9"/>
      <c r="E260" s="9"/>
      <c r="F260" s="9"/>
      <c r="G260" s="9"/>
      <c r="H260" s="9"/>
      <c r="I260" s="9"/>
      <c r="J260" s="9"/>
      <c r="L260" s="9" t="str">
        <f>L2</f>
        <v>Total Global Scope 2 Emissions</v>
      </c>
      <c r="M260" s="9"/>
      <c r="N260" s="9"/>
      <c r="O260" s="9"/>
      <c r="P260" s="9"/>
      <c r="Q260" s="9"/>
      <c r="R260" s="9"/>
      <c r="S260" s="9"/>
      <c r="T260" s="2"/>
      <c r="U260" s="9" t="str">
        <f>U2</f>
        <v>Total Global Scope 1 and 2 Emissions</v>
      </c>
      <c r="V260" s="9"/>
      <c r="W260" s="9"/>
      <c r="X260" s="9"/>
      <c r="Y260" s="9"/>
      <c r="Z260" s="9"/>
      <c r="AA260" s="9"/>
      <c r="AB260" s="9"/>
      <c r="AC260" s="8"/>
      <c r="AD260" s="9" t="str">
        <f>AD2</f>
        <v>Total Global Production</v>
      </c>
      <c r="AE260" s="9"/>
      <c r="AF260" s="9"/>
      <c r="AG260" s="9"/>
      <c r="AH260" s="9"/>
      <c r="AI260" s="9"/>
      <c r="AJ260" s="9"/>
      <c r="AK260" s="9"/>
      <c r="AL260" s="8"/>
      <c r="AM260" s="9" t="s">
        <v>26</v>
      </c>
      <c r="AN260" s="9"/>
      <c r="AO260" s="9"/>
      <c r="AP260" s="9"/>
      <c r="AQ260" s="9"/>
      <c r="AR260" s="9"/>
      <c r="AS260" s="9"/>
      <c r="AT260" s="9"/>
      <c r="AV260" s="9" t="s">
        <v>27</v>
      </c>
      <c r="AW260" s="9"/>
      <c r="AX260" s="9"/>
      <c r="AY260" s="9"/>
      <c r="AZ260" s="9"/>
      <c r="BA260" s="9"/>
      <c r="BB260" s="9"/>
      <c r="BC260" s="9"/>
      <c r="BE260" s="9" t="s">
        <v>28</v>
      </c>
      <c r="BF260" s="9"/>
      <c r="BG260" s="9"/>
      <c r="BH260" s="9"/>
      <c r="BI260" s="9"/>
      <c r="BJ260" s="9"/>
      <c r="BK260" s="9"/>
      <c r="BL260" s="9"/>
      <c r="BN260" s="9" t="s">
        <v>29</v>
      </c>
      <c r="BO260" s="9"/>
      <c r="BP260" s="9"/>
      <c r="BQ260" s="9"/>
      <c r="BR260" s="9"/>
      <c r="BS260" s="9"/>
      <c r="BT260" s="9"/>
      <c r="BU260" s="9"/>
    </row>
    <row r="261" spans="1:86">
      <c r="C261" s="60"/>
      <c r="D261" s="60" t="s">
        <v>11</v>
      </c>
      <c r="E261" s="61">
        <v>2020</v>
      </c>
      <c r="F261" s="61">
        <v>2021</v>
      </c>
      <c r="G261" s="61">
        <v>2022</v>
      </c>
      <c r="H261" s="61">
        <v>2023</v>
      </c>
      <c r="I261" s="61">
        <v>2024</v>
      </c>
      <c r="J261" s="61">
        <v>2025</v>
      </c>
      <c r="L261" s="60"/>
      <c r="M261" s="60" t="s">
        <v>11</v>
      </c>
      <c r="N261" s="61">
        <v>2020</v>
      </c>
      <c r="O261" s="61">
        <v>2021</v>
      </c>
      <c r="P261" s="61">
        <v>2022</v>
      </c>
      <c r="Q261" s="61">
        <v>2023</v>
      </c>
      <c r="R261" s="61">
        <v>2024</v>
      </c>
      <c r="S261" s="61">
        <v>2025</v>
      </c>
      <c r="T261" s="2"/>
      <c r="U261" s="60"/>
      <c r="V261" s="60" t="s">
        <v>11</v>
      </c>
      <c r="W261" s="61">
        <v>2020</v>
      </c>
      <c r="X261" s="61">
        <v>2021</v>
      </c>
      <c r="Y261" s="61">
        <v>2022</v>
      </c>
      <c r="Z261" s="61">
        <v>2023</v>
      </c>
      <c r="AA261" s="61">
        <v>2024</v>
      </c>
      <c r="AB261" s="61">
        <v>2025</v>
      </c>
      <c r="AC261" s="12"/>
      <c r="AD261" s="60"/>
      <c r="AE261" s="65" t="s">
        <v>11</v>
      </c>
      <c r="AF261" s="66">
        <v>2020</v>
      </c>
      <c r="AG261" s="61">
        <v>2021</v>
      </c>
      <c r="AH261" s="61">
        <v>2022</v>
      </c>
      <c r="AI261" s="61">
        <v>2023</v>
      </c>
      <c r="AJ261" s="61">
        <v>2024</v>
      </c>
      <c r="AK261" s="61">
        <v>2025</v>
      </c>
      <c r="AL261" s="12"/>
      <c r="AM261" s="60"/>
      <c r="AN261" s="65" t="s">
        <v>11</v>
      </c>
      <c r="AO261" s="66">
        <v>2020</v>
      </c>
      <c r="AP261" s="61">
        <v>2021</v>
      </c>
      <c r="AQ261" s="61">
        <v>2022</v>
      </c>
      <c r="AR261" s="61">
        <v>2023</v>
      </c>
      <c r="AS261" s="61">
        <v>2024</v>
      </c>
      <c r="AT261" s="61">
        <v>2025</v>
      </c>
      <c r="AV261" s="60" t="s">
        <v>59</v>
      </c>
      <c r="AW261" s="60" t="s">
        <v>11</v>
      </c>
      <c r="AX261" s="61">
        <v>2020</v>
      </c>
      <c r="AY261" s="61">
        <v>2021</v>
      </c>
      <c r="AZ261" s="61">
        <v>2022</v>
      </c>
      <c r="BA261" s="61">
        <v>2023</v>
      </c>
      <c r="BB261" s="61">
        <v>2024</v>
      </c>
      <c r="BC261" s="61">
        <v>2025</v>
      </c>
      <c r="BE261" s="60" t="s">
        <v>59</v>
      </c>
      <c r="BF261" s="60" t="s">
        <v>11</v>
      </c>
      <c r="BG261" s="61">
        <v>2020</v>
      </c>
      <c r="BH261" s="61">
        <v>2021</v>
      </c>
      <c r="BI261" s="61">
        <v>2022</v>
      </c>
      <c r="BJ261" s="61">
        <v>2023</v>
      </c>
      <c r="BK261" s="61">
        <v>2024</v>
      </c>
      <c r="BL261" s="61">
        <v>2025</v>
      </c>
      <c r="BN261" s="60" t="s">
        <v>59</v>
      </c>
      <c r="BO261" s="60" t="s">
        <v>11</v>
      </c>
      <c r="BP261" s="61">
        <v>2020</v>
      </c>
      <c r="BQ261" s="61">
        <v>2021</v>
      </c>
      <c r="BR261" s="61">
        <v>2022</v>
      </c>
      <c r="BS261" s="61">
        <v>2023</v>
      </c>
      <c r="BT261" s="61">
        <v>2024</v>
      </c>
      <c r="BU261" s="61">
        <v>2025</v>
      </c>
    </row>
    <row r="262" spans="1:86">
      <c r="C262" s="16" t="s">
        <v>1</v>
      </c>
      <c r="D262" s="17" t="s">
        <v>32</v>
      </c>
      <c r="E262" s="18">
        <f t="shared" ref="E262:J262" si="143">E17</f>
        <v>4373.5873801716834</v>
      </c>
      <c r="F262" s="18">
        <f t="shared" si="143"/>
        <v>4423.5351788168828</v>
      </c>
      <c r="G262" s="18">
        <f t="shared" si="143"/>
        <v>4544.1974235414245</v>
      </c>
      <c r="H262" s="18">
        <f t="shared" si="143"/>
        <v>4699.0751502874355</v>
      </c>
      <c r="I262" s="18">
        <f t="shared" si="143"/>
        <v>5109.4655684585559</v>
      </c>
      <c r="J262" s="18">
        <f t="shared" si="143"/>
        <v>5102.0599634483651</v>
      </c>
      <c r="L262" s="16" t="s">
        <v>1</v>
      </c>
      <c r="M262" s="17" t="s">
        <v>32</v>
      </c>
      <c r="N262" s="18">
        <f t="shared" ref="N262:S262" si="144">N17</f>
        <v>0</v>
      </c>
      <c r="O262" s="18">
        <f t="shared" si="144"/>
        <v>0</v>
      </c>
      <c r="P262" s="18">
        <f t="shared" si="144"/>
        <v>0</v>
      </c>
      <c r="Q262" s="18">
        <f t="shared" si="144"/>
        <v>0</v>
      </c>
      <c r="R262" s="18">
        <f t="shared" si="144"/>
        <v>0</v>
      </c>
      <c r="S262" s="18">
        <f t="shared" si="144"/>
        <v>0</v>
      </c>
      <c r="T262" s="2"/>
      <c r="U262" s="16" t="s">
        <v>1</v>
      </c>
      <c r="V262" s="17" t="s">
        <v>32</v>
      </c>
      <c r="W262" s="18">
        <f t="shared" ref="W262:W282" si="145">E262+N262</f>
        <v>4373.5873801716834</v>
      </c>
      <c r="X262" s="18">
        <f t="shared" ref="X262:X282" si="146">F262+O262</f>
        <v>4423.5351788168828</v>
      </c>
      <c r="Y262" s="18">
        <f t="shared" ref="Y262:Y282" si="147">G262+P262</f>
        <v>4544.1974235414245</v>
      </c>
      <c r="Z262" s="18">
        <f t="shared" ref="Z262:Z282" si="148">H262+Q262</f>
        <v>4699.0751502874355</v>
      </c>
      <c r="AA262" s="18">
        <f t="shared" ref="AA262:AA282" si="149">I262+R262</f>
        <v>5109.4655684585559</v>
      </c>
      <c r="AB262" s="18">
        <f t="shared" ref="AB262:AB282" si="150">J262+S262</f>
        <v>5102.0599634483651</v>
      </c>
      <c r="AC262" s="19"/>
      <c r="AD262" s="16" t="s">
        <v>1</v>
      </c>
      <c r="AE262" s="17" t="s">
        <v>47</v>
      </c>
      <c r="AF262" s="18">
        <v>370045.3300560168</v>
      </c>
      <c r="AG262" s="18">
        <v>377540.58708322031</v>
      </c>
      <c r="AH262" s="18">
        <v>380353.83364236588</v>
      </c>
      <c r="AI262" s="18">
        <v>396462.78315477498</v>
      </c>
      <c r="AJ262" s="18">
        <v>418823.37572803791</v>
      </c>
      <c r="AK262" s="18">
        <v>411099.91345286317</v>
      </c>
      <c r="AL262" s="19"/>
      <c r="AM262" s="16" t="s">
        <v>0</v>
      </c>
      <c r="AN262" s="16" t="s">
        <v>60</v>
      </c>
      <c r="AO262" s="82">
        <f t="shared" ref="AO262:AT262" si="151">SUM(W262:W264)/AF264</f>
        <v>12.816479448140232</v>
      </c>
      <c r="AP262" s="82">
        <f t="shared" si="151"/>
        <v>12.761851396665563</v>
      </c>
      <c r="AQ262" s="82">
        <f t="shared" si="151"/>
        <v>12.685762812571168</v>
      </c>
      <c r="AR262" s="82">
        <f t="shared" si="151"/>
        <v>12.656124359824741</v>
      </c>
      <c r="AS262" s="82">
        <f t="shared" si="151"/>
        <v>12.462072248186086</v>
      </c>
      <c r="AT262" s="82">
        <f t="shared" si="151"/>
        <v>12.406905819794773</v>
      </c>
      <c r="AV262" s="16" t="s">
        <v>1</v>
      </c>
      <c r="AW262" s="35" t="s">
        <v>48</v>
      </c>
      <c r="AX262" s="18">
        <v>56.7</v>
      </c>
      <c r="AY262" s="18">
        <v>57.5</v>
      </c>
      <c r="AZ262" s="18">
        <v>61</v>
      </c>
      <c r="BA262" s="18">
        <v>64</v>
      </c>
      <c r="BB262" s="18">
        <v>67</v>
      </c>
      <c r="BC262" s="18">
        <v>79.3</v>
      </c>
      <c r="BE262" s="16" t="s">
        <v>1</v>
      </c>
      <c r="BF262" s="35" t="s">
        <v>49</v>
      </c>
      <c r="BG262" s="35">
        <f t="shared" ref="BG262:BG282" si="152">AX262*AF262/1000000</f>
        <v>20.981570214176152</v>
      </c>
      <c r="BH262" s="35">
        <f t="shared" ref="BH262:BH282" si="153">AY262*AG262/1000000</f>
        <v>21.708583757285165</v>
      </c>
      <c r="BI262" s="35">
        <f t="shared" ref="BI262:BI282" si="154">AZ262*AH262/1000000</f>
        <v>23.201583852184317</v>
      </c>
      <c r="BJ262" s="35">
        <f t="shared" ref="BJ262:BJ282" si="155">BA262*AI262/1000000</f>
        <v>25.373618121905597</v>
      </c>
      <c r="BK262" s="35">
        <f t="shared" ref="BK262:BK282" si="156">BB262*AJ262/1000000</f>
        <v>28.061166173778542</v>
      </c>
      <c r="BL262" s="35">
        <f t="shared" ref="BL262:BL282" si="157">BC262*AK262/1000000</f>
        <v>32.600223136812048</v>
      </c>
      <c r="BN262" s="16" t="s">
        <v>1</v>
      </c>
      <c r="BO262" s="35" t="s">
        <v>50</v>
      </c>
      <c r="BP262" s="35">
        <f t="shared" ref="BP262:BU262" si="158">W262/1000/BG262</f>
        <v>0.2084490024114915</v>
      </c>
      <c r="BQ262" s="35">
        <f t="shared" si="158"/>
        <v>0.20376894357893763</v>
      </c>
      <c r="BR262" s="35">
        <f t="shared" si="158"/>
        <v>0.1958572075291149</v>
      </c>
      <c r="BS262" s="35">
        <f t="shared" si="158"/>
        <v>0.1851953130101939</v>
      </c>
      <c r="BT262" s="35">
        <f t="shared" si="158"/>
        <v>0.18208315138495712</v>
      </c>
      <c r="BU262" s="35">
        <f t="shared" si="158"/>
        <v>0.15650383563439904</v>
      </c>
    </row>
    <row r="263" spans="1:86">
      <c r="C263" s="16" t="s">
        <v>12</v>
      </c>
      <c r="D263" s="17" t="s">
        <v>32</v>
      </c>
      <c r="E263" s="18">
        <f t="shared" ref="E263:J263" si="159">E30</f>
        <v>171564.24113089524</v>
      </c>
      <c r="F263" s="18">
        <f t="shared" si="159"/>
        <v>177153.74324738467</v>
      </c>
      <c r="G263" s="18">
        <f t="shared" si="159"/>
        <v>179846.73322236098</v>
      </c>
      <c r="H263" s="18">
        <f t="shared" si="159"/>
        <v>180868.19101176207</v>
      </c>
      <c r="I263" s="18">
        <f t="shared" si="159"/>
        <v>181037.22825184072</v>
      </c>
      <c r="J263" s="18">
        <f t="shared" si="159"/>
        <v>188709.02182725343</v>
      </c>
      <c r="L263" s="16" t="s">
        <v>12</v>
      </c>
      <c r="M263" s="17" t="s">
        <v>32</v>
      </c>
      <c r="N263" s="18">
        <f t="shared" ref="N263:S263" si="160">N30</f>
        <v>8963.6600977216131</v>
      </c>
      <c r="O263" s="18">
        <f t="shared" si="160"/>
        <v>8877.6026215965685</v>
      </c>
      <c r="P263" s="18">
        <f t="shared" si="160"/>
        <v>8676.4455275434848</v>
      </c>
      <c r="Q263" s="18">
        <f t="shared" si="160"/>
        <v>16575.468117725821</v>
      </c>
      <c r="R263" s="18">
        <f t="shared" si="160"/>
        <v>16983.918856741606</v>
      </c>
      <c r="S263" s="18">
        <f t="shared" si="160"/>
        <v>17263.919666707596</v>
      </c>
      <c r="T263" s="2"/>
      <c r="U263" s="16" t="s">
        <v>12</v>
      </c>
      <c r="V263" s="17" t="s">
        <v>32</v>
      </c>
      <c r="W263" s="18">
        <f t="shared" si="145"/>
        <v>180527.90122861686</v>
      </c>
      <c r="X263" s="18">
        <f t="shared" si="146"/>
        <v>186031.34586898124</v>
      </c>
      <c r="Y263" s="18">
        <f t="shared" si="147"/>
        <v>188523.17874990447</v>
      </c>
      <c r="Z263" s="18">
        <f t="shared" si="148"/>
        <v>197443.6591294879</v>
      </c>
      <c r="AA263" s="18">
        <f t="shared" si="149"/>
        <v>198021.14710858231</v>
      </c>
      <c r="AB263" s="18">
        <f t="shared" si="150"/>
        <v>205972.94149396103</v>
      </c>
      <c r="AC263" s="19"/>
      <c r="AD263" s="16" t="s">
        <v>12</v>
      </c>
      <c r="AE263" s="17" t="s">
        <v>47</v>
      </c>
      <c r="AF263" s="18">
        <v>132755.18835569403</v>
      </c>
      <c r="AG263" s="18">
        <v>138374.38779035141</v>
      </c>
      <c r="AH263" s="18">
        <v>140557.60127853882</v>
      </c>
      <c r="AI263" s="18">
        <v>143141.56410958906</v>
      </c>
      <c r="AJ263" s="18">
        <v>145207</v>
      </c>
      <c r="AK263" s="18">
        <v>151126</v>
      </c>
      <c r="AL263" s="19"/>
      <c r="AM263" s="49"/>
      <c r="AN263" s="16"/>
      <c r="AO263" s="83"/>
      <c r="AP263" s="83"/>
      <c r="AQ263" s="83"/>
      <c r="AR263" s="83"/>
      <c r="AS263" s="83"/>
      <c r="AT263" s="83"/>
      <c r="AV263" s="16" t="s">
        <v>12</v>
      </c>
      <c r="AW263" s="35" t="s">
        <v>48</v>
      </c>
      <c r="AX263" s="18">
        <v>269.50786494315503</v>
      </c>
      <c r="AY263" s="18">
        <v>331.04407469596254</v>
      </c>
      <c r="AZ263" s="18">
        <v>362.25897116803867</v>
      </c>
      <c r="BA263" s="18">
        <v>344.33810434628509</v>
      </c>
      <c r="BB263" s="18">
        <v>502.21055508501161</v>
      </c>
      <c r="BC263" s="18">
        <v>406.11407647907646</v>
      </c>
      <c r="BE263" s="16" t="s">
        <v>12</v>
      </c>
      <c r="BF263" s="35" t="s">
        <v>49</v>
      </c>
      <c r="BG263" s="35">
        <f t="shared" si="152"/>
        <v>35.778567373869492</v>
      </c>
      <c r="BH263" s="35">
        <f t="shared" si="153"/>
        <v>45.808021167677182</v>
      </c>
      <c r="BI263" s="35">
        <f t="shared" si="154"/>
        <v>50.918252029010873</v>
      </c>
      <c r="BJ263" s="35">
        <f t="shared" si="155"/>
        <v>49.28909483865813</v>
      </c>
      <c r="BK263" s="35">
        <f t="shared" si="156"/>
        <v>72.924488072229281</v>
      </c>
      <c r="BL263" s="35">
        <f t="shared" si="157"/>
        <v>61.374395921976912</v>
      </c>
      <c r="BN263" s="16" t="s">
        <v>12</v>
      </c>
      <c r="BO263" s="35" t="s">
        <v>50</v>
      </c>
      <c r="BP263" s="35">
        <f t="shared" ref="BP263:BP282" si="161">W263/1000/BG263</f>
        <v>5.0456995480613775</v>
      </c>
      <c r="BQ263" s="35">
        <f t="shared" ref="BQ263:BQ282" si="162">X263/1000/BH263</f>
        <v>4.0611085379136114</v>
      </c>
      <c r="BR263" s="35">
        <f t="shared" ref="BR263:BR282" si="163">Y263/1000/BI263</f>
        <v>3.7024676071459139</v>
      </c>
      <c r="BS263" s="35">
        <f t="shared" ref="BS263:BS282" si="164">Z263/1000/BJ263</f>
        <v>4.0058284652172205</v>
      </c>
      <c r="BT263" s="35">
        <f t="shared" ref="BT263:BT282" si="165">AA263/1000/BK263</f>
        <v>2.7154273186319657</v>
      </c>
      <c r="BU263" s="35">
        <f t="shared" ref="BU263:BU282" si="166">AB263/1000/BL263</f>
        <v>3.3560076380353641</v>
      </c>
    </row>
    <row r="264" spans="1:86">
      <c r="C264" s="16" t="s">
        <v>0</v>
      </c>
      <c r="D264" s="17" t="s">
        <v>32</v>
      </c>
      <c r="E264" s="18">
        <f t="shared" ref="E264:J264" si="167">E42</f>
        <v>541813.75135728228</v>
      </c>
      <c r="F264" s="18">
        <f t="shared" si="167"/>
        <v>560565.87525570416</v>
      </c>
      <c r="G264" s="18">
        <f t="shared" si="167"/>
        <v>568753.13938735577</v>
      </c>
      <c r="H264" s="18">
        <f t="shared" si="167"/>
        <v>577113.91607186873</v>
      </c>
      <c r="I264" s="18">
        <f t="shared" si="167"/>
        <v>585408.40276887605</v>
      </c>
      <c r="J264" s="18">
        <f t="shared" si="167"/>
        <v>588135.34964702628</v>
      </c>
      <c r="L264" s="16" t="s">
        <v>0</v>
      </c>
      <c r="M264" s="17" t="s">
        <v>32</v>
      </c>
      <c r="N264" s="18">
        <f t="shared" ref="N264:S264" si="168">N42</f>
        <v>107179.77455569382</v>
      </c>
      <c r="O264" s="18">
        <f t="shared" si="168"/>
        <v>110081.75185982072</v>
      </c>
      <c r="P264" s="18">
        <f t="shared" si="168"/>
        <v>109797.33819962948</v>
      </c>
      <c r="Q264" s="18">
        <f t="shared" si="168"/>
        <v>115118.75774705045</v>
      </c>
      <c r="R264" s="18">
        <f t="shared" si="168"/>
        <v>116053.3672386423</v>
      </c>
      <c r="S264" s="18">
        <f t="shared" si="168"/>
        <v>118318.21102323702</v>
      </c>
      <c r="T264" s="2"/>
      <c r="U264" s="16" t="s">
        <v>0</v>
      </c>
      <c r="V264" s="17" t="s">
        <v>32</v>
      </c>
      <c r="W264" s="18">
        <f t="shared" si="145"/>
        <v>648993.52591297613</v>
      </c>
      <c r="X264" s="18">
        <f t="shared" si="146"/>
        <v>670647.62711552484</v>
      </c>
      <c r="Y264" s="18">
        <f t="shared" si="147"/>
        <v>678550.47758698522</v>
      </c>
      <c r="Z264" s="18">
        <f t="shared" si="148"/>
        <v>692232.67381891923</v>
      </c>
      <c r="AA264" s="18">
        <f t="shared" si="149"/>
        <v>701461.77000751835</v>
      </c>
      <c r="AB264" s="18">
        <f t="shared" si="150"/>
        <v>706453.56067026325</v>
      </c>
      <c r="AC264" s="19"/>
      <c r="AD264" s="16" t="s">
        <v>0</v>
      </c>
      <c r="AE264" s="17" t="s">
        <v>47</v>
      </c>
      <c r="AF264" s="18">
        <v>65064.280553484539</v>
      </c>
      <c r="AG264" s="18">
        <v>67474.732419178079</v>
      </c>
      <c r="AH264" s="18">
        <v>68708.351767123284</v>
      </c>
      <c r="AI264" s="18">
        <v>70667.400435616437</v>
      </c>
      <c r="AJ264" s="18">
        <v>72587.637486713094</v>
      </c>
      <c r="AK264" s="18">
        <v>73953.052876712318</v>
      </c>
      <c r="AL264" s="19"/>
      <c r="AM264" s="49"/>
      <c r="AN264" s="16"/>
      <c r="AO264" s="83"/>
      <c r="AP264" s="83"/>
      <c r="AQ264" s="83"/>
      <c r="AR264" s="83"/>
      <c r="AS264" s="83"/>
      <c r="AT264" s="83"/>
      <c r="AV264" s="16" t="s">
        <v>0</v>
      </c>
      <c r="AW264" s="35" t="s">
        <v>48</v>
      </c>
      <c r="AX264" s="18">
        <v>1701.6841666666667</v>
      </c>
      <c r="AY264" s="18">
        <v>2475.3683333333333</v>
      </c>
      <c r="AZ264" s="18">
        <v>2706.5429166666668</v>
      </c>
      <c r="BA264" s="18">
        <v>2251.2183166666669</v>
      </c>
      <c r="BB264" s="18">
        <v>2418.407916666667</v>
      </c>
      <c r="BC264" s="18">
        <v>2483.2209333333331</v>
      </c>
      <c r="BE264" s="16" t="s">
        <v>0</v>
      </c>
      <c r="BF264" s="35" t="s">
        <v>49</v>
      </c>
      <c r="BG264" s="35">
        <f t="shared" si="152"/>
        <v>110.71885603342254</v>
      </c>
      <c r="BH264" s="35">
        <f>AY264*AG264/1000000</f>
        <v>167.02481593057345</v>
      </c>
      <c r="BI264" s="35">
        <f t="shared" si="154"/>
        <v>185.96210279114916</v>
      </c>
      <c r="BJ264" s="35">
        <f t="shared" si="155"/>
        <v>159.08774625187772</v>
      </c>
      <c r="BK264" s="35">
        <f t="shared" si="156"/>
        <v>175.54651714999707</v>
      </c>
      <c r="BL264" s="35">
        <f t="shared" si="157"/>
        <v>183.64176898735889</v>
      </c>
      <c r="BN264" s="16" t="s">
        <v>0</v>
      </c>
      <c r="BO264" s="35" t="s">
        <v>50</v>
      </c>
      <c r="BP264" s="35">
        <f t="shared" si="161"/>
        <v>5.8616350381823432</v>
      </c>
      <c r="BQ264" s="35">
        <f t="shared" si="162"/>
        <v>4.0152573938132061</v>
      </c>
      <c r="BR264" s="35">
        <f t="shared" si="163"/>
        <v>3.6488642976308654</v>
      </c>
      <c r="BS264" s="35">
        <f t="shared" si="164"/>
        <v>4.3512633130331295</v>
      </c>
      <c r="BT264" s="35">
        <f t="shared" si="165"/>
        <v>3.9958740361003513</v>
      </c>
      <c r="BU264" s="35">
        <f t="shared" si="166"/>
        <v>3.8469111061486916</v>
      </c>
    </row>
    <row r="265" spans="1:86" s="6" customFormat="1">
      <c r="A265" s="2"/>
      <c r="B265" s="2"/>
      <c r="C265" s="51" t="s">
        <v>15</v>
      </c>
      <c r="D265" s="52" t="s">
        <v>32</v>
      </c>
      <c r="E265" s="53">
        <f t="shared" ref="E265:J265" si="169">E54</f>
        <v>19032.965861277367</v>
      </c>
      <c r="F265" s="53">
        <f t="shared" si="169"/>
        <v>19480.313501671826</v>
      </c>
      <c r="G265" s="53">
        <f t="shared" si="169"/>
        <v>21159.862178240051</v>
      </c>
      <c r="H265" s="53">
        <f t="shared" si="169"/>
        <v>21633.084792380814</v>
      </c>
      <c r="I265" s="53">
        <f t="shared" si="169"/>
        <v>22128.457419260034</v>
      </c>
      <c r="J265" s="53">
        <f t="shared" si="169"/>
        <v>22831.892783708743</v>
      </c>
      <c r="K265" s="2"/>
      <c r="L265" s="51" t="s">
        <v>15</v>
      </c>
      <c r="M265" s="52" t="s">
        <v>32</v>
      </c>
      <c r="N265" s="53">
        <f t="shared" ref="N265:S265" si="170">N54</f>
        <v>45725.511778635489</v>
      </c>
      <c r="O265" s="53">
        <f t="shared" si="170"/>
        <v>44769.862865102667</v>
      </c>
      <c r="P265" s="53">
        <f t="shared" si="170"/>
        <v>45054.079751034849</v>
      </c>
      <c r="Q265" s="53">
        <f t="shared" si="170"/>
        <v>42993.958250745942</v>
      </c>
      <c r="R265" s="53">
        <f t="shared" si="170"/>
        <v>40607.608161746815</v>
      </c>
      <c r="S265" s="53">
        <f t="shared" si="170"/>
        <v>38979.418020388308</v>
      </c>
      <c r="T265" s="2"/>
      <c r="U265" s="51" t="s">
        <v>15</v>
      </c>
      <c r="V265" s="52" t="s">
        <v>32</v>
      </c>
      <c r="W265" s="18">
        <f t="shared" si="145"/>
        <v>64758.47763991286</v>
      </c>
      <c r="X265" s="18">
        <f t="shared" si="146"/>
        <v>64250.176366774496</v>
      </c>
      <c r="Y265" s="18">
        <f t="shared" si="147"/>
        <v>66213.941929274908</v>
      </c>
      <c r="Z265" s="18">
        <f t="shared" si="148"/>
        <v>64627.04304312676</v>
      </c>
      <c r="AA265" s="18">
        <f t="shared" si="149"/>
        <v>62736.065581006849</v>
      </c>
      <c r="AB265" s="18">
        <f t="shared" si="150"/>
        <v>61811.310804097055</v>
      </c>
      <c r="AC265" s="19"/>
      <c r="AD265" s="51" t="s">
        <v>15</v>
      </c>
      <c r="AE265" s="52" t="s">
        <v>47</v>
      </c>
      <c r="AF265" s="53">
        <v>20934.209096054547</v>
      </c>
      <c r="AG265" s="53">
        <v>21441.946199999998</v>
      </c>
      <c r="AH265" s="53">
        <v>22049.146490000003</v>
      </c>
      <c r="AI265" s="53">
        <v>22308.319754</v>
      </c>
      <c r="AJ265" s="53">
        <v>23178.249519999994</v>
      </c>
      <c r="AK265" s="53">
        <v>23766.906365999999</v>
      </c>
      <c r="AL265" s="19"/>
      <c r="AM265" s="16" t="s">
        <v>3</v>
      </c>
      <c r="AN265" s="16" t="s">
        <v>60</v>
      </c>
      <c r="AO265" s="82">
        <f t="shared" ref="AO265:AT265" si="171">SUM(W265:W267)/AF267</f>
        <v>3.5279449502146196</v>
      </c>
      <c r="AP265" s="82">
        <f t="shared" si="171"/>
        <v>3.3981888664116258</v>
      </c>
      <c r="AQ265" s="82">
        <f t="shared" si="171"/>
        <v>3.443884684900457</v>
      </c>
      <c r="AR265" s="82">
        <f t="shared" si="171"/>
        <v>3.3176357109742822</v>
      </c>
      <c r="AS265" s="82">
        <f t="shared" si="171"/>
        <v>3.1284929245864181</v>
      </c>
      <c r="AT265" s="82">
        <f t="shared" si="171"/>
        <v>2.9600025254158813</v>
      </c>
      <c r="AU265" s="2"/>
      <c r="AV265" s="16" t="s">
        <v>3</v>
      </c>
      <c r="AW265" s="35" t="s">
        <v>48</v>
      </c>
      <c r="AX265" s="18">
        <v>6180.5048999999999</v>
      </c>
      <c r="AY265" s="18">
        <v>9317.1897000000008</v>
      </c>
      <c r="AZ265" s="18">
        <v>8796.0866000000005</v>
      </c>
      <c r="BA265" s="18">
        <v>8477.1344000000008</v>
      </c>
      <c r="BB265" s="18">
        <v>9146.1859999999997</v>
      </c>
      <c r="BC265" s="18">
        <v>9421.3716833333328</v>
      </c>
      <c r="BD265" s="2"/>
      <c r="BE265" s="16" t="s">
        <v>3</v>
      </c>
      <c r="BF265" s="35" t="s">
        <v>49</v>
      </c>
      <c r="BG265" s="35">
        <f t="shared" si="152"/>
        <v>129.3839818957897</v>
      </c>
      <c r="BH265" s="35">
        <f t="shared" si="153"/>
        <v>199.77868028259414</v>
      </c>
      <c r="BI265" s="35">
        <f t="shared" si="154"/>
        <v>193.94620198212607</v>
      </c>
      <c r="BJ265" s="35">
        <f t="shared" si="155"/>
        <v>189.11062479283297</v>
      </c>
      <c r="BK265" s="35">
        <f t="shared" si="156"/>
        <v>211.99258126433065</v>
      </c>
      <c r="BL265" s="35">
        <f t="shared" si="157"/>
        <v>223.91685863706712</v>
      </c>
      <c r="BM265" s="2"/>
      <c r="BN265" s="16" t="s">
        <v>3</v>
      </c>
      <c r="BO265" s="35" t="s">
        <v>50</v>
      </c>
      <c r="BP265" s="35">
        <f t="shared" si="161"/>
        <v>0.50051387112255952</v>
      </c>
      <c r="BQ265" s="35">
        <f t="shared" si="162"/>
        <v>0.32160677143271899</v>
      </c>
      <c r="BR265" s="35">
        <f t="shared" si="163"/>
        <v>0.34140365344909995</v>
      </c>
      <c r="BS265" s="35">
        <f t="shared" si="164"/>
        <v>0.34174199949857093</v>
      </c>
      <c r="BT265" s="35">
        <f t="shared" si="165"/>
        <v>0.29593519361312981</v>
      </c>
      <c r="BU265" s="35">
        <f t="shared" si="166"/>
        <v>0.27604581084393987</v>
      </c>
      <c r="BV265" s="2"/>
      <c r="BW265" s="2"/>
      <c r="BX265" s="2"/>
      <c r="BY265" s="2"/>
      <c r="BZ265" s="2"/>
      <c r="CA265" s="2"/>
      <c r="CB265" s="2"/>
      <c r="CC265" s="2"/>
      <c r="CD265" s="2"/>
      <c r="CE265" s="2"/>
      <c r="CF265" s="2"/>
      <c r="CG265" s="2"/>
      <c r="CH265" s="2"/>
    </row>
    <row r="266" spans="1:86" s="6" customFormat="1">
      <c r="A266" s="2"/>
      <c r="B266" s="2"/>
      <c r="C266" s="51" t="s">
        <v>16</v>
      </c>
      <c r="D266" s="52" t="s">
        <v>32</v>
      </c>
      <c r="E266" s="53">
        <f t="shared" ref="E266:J266" si="172">E66</f>
        <v>6372.4676597537118</v>
      </c>
      <c r="F266" s="53">
        <f t="shared" si="172"/>
        <v>6307.5081153473884</v>
      </c>
      <c r="G266" s="53">
        <f t="shared" si="172"/>
        <v>6257.2138764030851</v>
      </c>
      <c r="H266" s="53">
        <f t="shared" si="172"/>
        <v>6330.2081215315156</v>
      </c>
      <c r="I266" s="53">
        <f t="shared" si="172"/>
        <v>6709.5766983533795</v>
      </c>
      <c r="J266" s="53">
        <f t="shared" si="172"/>
        <v>6270.3547577398704</v>
      </c>
      <c r="K266" s="2"/>
      <c r="L266" s="51" t="s">
        <v>16</v>
      </c>
      <c r="M266" s="52" t="s">
        <v>32</v>
      </c>
      <c r="N266" s="53">
        <f t="shared" ref="N266:S266" si="173">N66</f>
        <v>8508.2092553367856</v>
      </c>
      <c r="O266" s="53">
        <f t="shared" si="173"/>
        <v>8936.1454409725193</v>
      </c>
      <c r="P266" s="53">
        <f t="shared" si="173"/>
        <v>8918.1031235797345</v>
      </c>
      <c r="Q266" s="53">
        <f t="shared" si="173"/>
        <v>9267.046321116155</v>
      </c>
      <c r="R266" s="53">
        <f t="shared" si="173"/>
        <v>9144.5906022215531</v>
      </c>
      <c r="S266" s="53">
        <f t="shared" si="173"/>
        <v>9824.9263774655101</v>
      </c>
      <c r="T266" s="2"/>
      <c r="U266" s="51" t="s">
        <v>16</v>
      </c>
      <c r="V266" s="52" t="s">
        <v>32</v>
      </c>
      <c r="W266" s="18">
        <f t="shared" si="145"/>
        <v>14880.676915090498</v>
      </c>
      <c r="X266" s="18">
        <f t="shared" si="146"/>
        <v>15243.653556319907</v>
      </c>
      <c r="Y266" s="18">
        <f t="shared" si="147"/>
        <v>15175.316999982821</v>
      </c>
      <c r="Z266" s="18">
        <f t="shared" si="148"/>
        <v>15597.254442647671</v>
      </c>
      <c r="AA266" s="18">
        <f t="shared" si="149"/>
        <v>15854.167300574933</v>
      </c>
      <c r="AB266" s="18">
        <f t="shared" si="150"/>
        <v>16095.28113520538</v>
      </c>
      <c r="AC266" s="19"/>
      <c r="AD266" s="51" t="s">
        <v>16</v>
      </c>
      <c r="AE266" s="52" t="s">
        <v>47</v>
      </c>
      <c r="AF266" s="53">
        <v>20229.030000000002</v>
      </c>
      <c r="AG266" s="53">
        <v>21007.605000000003</v>
      </c>
      <c r="AH266" s="53">
        <v>21341.539999999997</v>
      </c>
      <c r="AI266" s="53">
        <v>21934.204000000002</v>
      </c>
      <c r="AJ266" s="53">
        <v>22933.061999999998</v>
      </c>
      <c r="AK266" s="53">
        <v>24164.059999999998</v>
      </c>
      <c r="AL266" s="19"/>
      <c r="AM266" s="49"/>
      <c r="AN266" s="16"/>
      <c r="AO266" s="83"/>
      <c r="AP266" s="83"/>
      <c r="AQ266" s="83"/>
      <c r="AR266" s="83"/>
      <c r="AS266" s="83"/>
      <c r="AT266" s="83"/>
      <c r="AU266" s="2"/>
      <c r="AV266" s="49"/>
      <c r="AW266" s="50"/>
      <c r="AX266" s="54"/>
      <c r="AY266" s="54"/>
      <c r="AZ266" s="54"/>
      <c r="BA266" s="54"/>
      <c r="BB266" s="54"/>
      <c r="BC266" s="54"/>
      <c r="BD266" s="2"/>
      <c r="BE266" s="49"/>
      <c r="BF266" s="50"/>
      <c r="BG266" s="50"/>
      <c r="BH266" s="50"/>
      <c r="BI266" s="50"/>
      <c r="BJ266" s="50"/>
      <c r="BK266" s="50"/>
      <c r="BL266" s="50"/>
      <c r="BM266" s="2"/>
      <c r="BN266" s="49"/>
      <c r="BO266" s="50"/>
      <c r="BP266" s="50"/>
      <c r="BQ266" s="50"/>
      <c r="BR266" s="50"/>
      <c r="BS266" s="50"/>
      <c r="BT266" s="50"/>
      <c r="BU266" s="50"/>
      <c r="BV266" s="2"/>
      <c r="BW266" s="2"/>
      <c r="BX266" s="2"/>
      <c r="BY266" s="2"/>
      <c r="BZ266" s="2"/>
      <c r="CA266" s="2"/>
      <c r="CB266" s="2"/>
      <c r="CC266" s="2"/>
      <c r="CD266" s="2"/>
      <c r="CE266" s="2"/>
      <c r="CF266" s="2"/>
      <c r="CG266" s="2"/>
      <c r="CH266" s="2"/>
    </row>
    <row r="267" spans="1:86" s="6" customFormat="1">
      <c r="A267" s="2"/>
      <c r="B267" s="2"/>
      <c r="C267" s="51" t="s">
        <v>17</v>
      </c>
      <c r="D267" s="52" t="s">
        <v>32</v>
      </c>
      <c r="E267" s="53">
        <f t="shared" ref="E267:J267" si="174">E78</f>
        <v>525.83668752469123</v>
      </c>
      <c r="F267" s="53">
        <f t="shared" si="174"/>
        <v>548.96088889387408</v>
      </c>
      <c r="G267" s="53">
        <f t="shared" si="174"/>
        <v>538.64464565256924</v>
      </c>
      <c r="H267" s="53">
        <f t="shared" si="174"/>
        <v>516.49689836562686</v>
      </c>
      <c r="I267" s="53">
        <f t="shared" si="174"/>
        <v>525.90274864981632</v>
      </c>
      <c r="J267" s="53">
        <f t="shared" si="174"/>
        <v>512.1302705684385</v>
      </c>
      <c r="K267" s="2"/>
      <c r="L267" s="51" t="s">
        <v>17</v>
      </c>
      <c r="M267" s="52" t="s">
        <v>32</v>
      </c>
      <c r="N267" s="53">
        <f t="shared" ref="N267:S267" si="175">N78</f>
        <v>4684.1274902597379</v>
      </c>
      <c r="O267" s="53">
        <f t="shared" si="175"/>
        <v>4786.9964346287352</v>
      </c>
      <c r="P267" s="53">
        <f t="shared" si="175"/>
        <v>4817.5007323408427</v>
      </c>
      <c r="Q267" s="53">
        <f t="shared" si="175"/>
        <v>5068.0717098329715</v>
      </c>
      <c r="R267" s="53">
        <f t="shared" si="175"/>
        <v>5052.4751076621587</v>
      </c>
      <c r="S267" s="53">
        <f t="shared" si="175"/>
        <v>5104.6961706653592</v>
      </c>
      <c r="T267" s="2"/>
      <c r="U267" s="51" t="s">
        <v>17</v>
      </c>
      <c r="V267" s="52" t="s">
        <v>32</v>
      </c>
      <c r="W267" s="18">
        <f t="shared" si="145"/>
        <v>5209.964177784429</v>
      </c>
      <c r="X267" s="18">
        <f t="shared" si="146"/>
        <v>5335.9573235226089</v>
      </c>
      <c r="Y267" s="18">
        <f t="shared" si="147"/>
        <v>5356.1453779934118</v>
      </c>
      <c r="Z267" s="18">
        <f t="shared" si="148"/>
        <v>5584.5686081985987</v>
      </c>
      <c r="AA267" s="18">
        <f t="shared" si="149"/>
        <v>5578.3778563119749</v>
      </c>
      <c r="AB267" s="18">
        <f t="shared" si="150"/>
        <v>5616.8264412337976</v>
      </c>
      <c r="AC267" s="19"/>
      <c r="AD267" s="51" t="s">
        <v>17</v>
      </c>
      <c r="AE267" s="52" t="s">
        <v>47</v>
      </c>
      <c r="AF267" s="53">
        <v>24050.579000000002</v>
      </c>
      <c r="AG267" s="53">
        <v>24963.234999999997</v>
      </c>
      <c r="AH267" s="53">
        <v>25188.242999999999</v>
      </c>
      <c r="AI267" s="53">
        <v>25864.463</v>
      </c>
      <c r="AJ267" s="53">
        <v>26903.884000000005</v>
      </c>
      <c r="AK267" s="53">
        <v>28217.346999999998</v>
      </c>
      <c r="AL267" s="19"/>
      <c r="AM267" s="49"/>
      <c r="AN267" s="16"/>
      <c r="AO267" s="83"/>
      <c r="AP267" s="83"/>
      <c r="AQ267" s="83"/>
      <c r="AR267" s="83"/>
      <c r="AS267" s="83"/>
      <c r="AT267" s="83"/>
      <c r="AU267" s="2"/>
      <c r="AV267" s="49"/>
      <c r="AW267" s="50"/>
      <c r="AX267" s="54"/>
      <c r="AY267" s="54"/>
      <c r="AZ267" s="54"/>
      <c r="BA267" s="54"/>
      <c r="BB267" s="54"/>
      <c r="BC267" s="54"/>
      <c r="BD267" s="2"/>
      <c r="BE267" s="49"/>
      <c r="BF267" s="50"/>
      <c r="BG267" s="50"/>
      <c r="BH267" s="50"/>
      <c r="BI267" s="50"/>
      <c r="BJ267" s="50"/>
      <c r="BK267" s="50"/>
      <c r="BL267" s="50"/>
      <c r="BM267" s="2"/>
      <c r="BN267" s="49"/>
      <c r="BO267" s="50"/>
      <c r="BP267" s="50"/>
      <c r="BQ267" s="50"/>
      <c r="BR267" s="50"/>
      <c r="BS267" s="50"/>
      <c r="BT267" s="50"/>
      <c r="BU267" s="50"/>
      <c r="BV267" s="2"/>
      <c r="BW267" s="2"/>
      <c r="BX267" s="2"/>
      <c r="BY267" s="2"/>
      <c r="BZ267" s="2"/>
      <c r="CA267" s="2"/>
      <c r="CB267" s="2"/>
      <c r="CC267" s="2"/>
      <c r="CD267" s="2"/>
      <c r="CE267" s="2"/>
      <c r="CF267" s="2"/>
      <c r="CG267" s="2"/>
      <c r="CH267" s="2"/>
    </row>
    <row r="268" spans="1:86">
      <c r="C268" s="16" t="s">
        <v>4</v>
      </c>
      <c r="D268" s="17" t="s">
        <v>32</v>
      </c>
      <c r="E268" s="18">
        <f t="shared" ref="E268:J268" si="176">E90</f>
        <v>26763.463940999536</v>
      </c>
      <c r="F268" s="18">
        <f t="shared" si="176"/>
        <v>29674.851988545266</v>
      </c>
      <c r="G268" s="18">
        <f t="shared" si="176"/>
        <v>28416.555067214649</v>
      </c>
      <c r="H268" s="18">
        <f t="shared" si="176"/>
        <v>24440.470643110926</v>
      </c>
      <c r="I268" s="18">
        <f t="shared" si="176"/>
        <v>24599.459138633174</v>
      </c>
      <c r="J268" s="18">
        <f t="shared" si="176"/>
        <v>23186.337249309847</v>
      </c>
      <c r="L268" s="16" t="s">
        <v>4</v>
      </c>
      <c r="M268" s="17" t="s">
        <v>32</v>
      </c>
      <c r="N268" s="18">
        <f t="shared" ref="N268:S268" si="177">N90</f>
        <v>12899.0355013359</v>
      </c>
      <c r="O268" s="18">
        <f t="shared" si="177"/>
        <v>13187.833723681382</v>
      </c>
      <c r="P268" s="18">
        <f t="shared" si="177"/>
        <v>12606.240107526683</v>
      </c>
      <c r="Q268" s="18">
        <f t="shared" si="177"/>
        <v>11735.466640371349</v>
      </c>
      <c r="R268" s="18">
        <f t="shared" si="177"/>
        <v>11941.292648221817</v>
      </c>
      <c r="S268" s="18">
        <f t="shared" si="177"/>
        <v>12078.349514656617</v>
      </c>
      <c r="T268" s="2"/>
      <c r="U268" s="16" t="s">
        <v>4</v>
      </c>
      <c r="V268" s="17" t="s">
        <v>32</v>
      </c>
      <c r="W268" s="18">
        <f t="shared" si="145"/>
        <v>39662.499442335436</v>
      </c>
      <c r="X268" s="18">
        <f t="shared" si="146"/>
        <v>42862.685712226652</v>
      </c>
      <c r="Y268" s="18">
        <f t="shared" si="147"/>
        <v>41022.795174741332</v>
      </c>
      <c r="Z268" s="18">
        <f t="shared" si="148"/>
        <v>36175.937283482272</v>
      </c>
      <c r="AA268" s="18">
        <f t="shared" si="149"/>
        <v>36540.751786854991</v>
      </c>
      <c r="AB268" s="18">
        <f t="shared" si="150"/>
        <v>35264.686763966463</v>
      </c>
      <c r="AC268" s="19"/>
      <c r="AD268" s="16" t="s">
        <v>4</v>
      </c>
      <c r="AE268" s="17" t="s">
        <v>47</v>
      </c>
      <c r="AF268" s="18">
        <v>3.4826999999999999</v>
      </c>
      <c r="AG268" s="18">
        <v>3.5730999999999993</v>
      </c>
      <c r="AH268" s="18">
        <v>3.6381999999999999</v>
      </c>
      <c r="AI268" s="18">
        <v>3.6471</v>
      </c>
      <c r="AJ268" s="18">
        <v>3.673</v>
      </c>
      <c r="AK268" s="18">
        <v>3.673</v>
      </c>
      <c r="AL268" s="19"/>
      <c r="AM268" s="16" t="s">
        <v>4</v>
      </c>
      <c r="AN268" s="16" t="s">
        <v>60</v>
      </c>
      <c r="AO268" s="82">
        <f t="shared" ref="AO268:AT268" si="178">W268/AF268</f>
        <v>11388.434100650484</v>
      </c>
      <c r="AP268" s="82">
        <f t="shared" si="178"/>
        <v>11995.937900486038</v>
      </c>
      <c r="AQ268" s="82">
        <f t="shared" si="178"/>
        <v>11275.574507927364</v>
      </c>
      <c r="AR268" s="82">
        <f t="shared" si="178"/>
        <v>9919.0966201865231</v>
      </c>
      <c r="AS268" s="82">
        <f t="shared" si="178"/>
        <v>9948.4758472243375</v>
      </c>
      <c r="AT268" s="82">
        <f t="shared" si="178"/>
        <v>9601.0581987384867</v>
      </c>
      <c r="AV268" s="16" t="s">
        <v>51</v>
      </c>
      <c r="AW268" s="35" t="s">
        <v>48</v>
      </c>
      <c r="AX268" s="18">
        <v>56893557.213</v>
      </c>
      <c r="AY268" s="18">
        <v>57826570.526999995</v>
      </c>
      <c r="AZ268" s="18">
        <v>57874153.563000001</v>
      </c>
      <c r="BA268" s="18">
        <v>62389719.377999999</v>
      </c>
      <c r="BB268" s="18">
        <v>76718000.339999989</v>
      </c>
      <c r="BC268" s="18">
        <v>77602415.5231435</v>
      </c>
      <c r="BE268" s="16" t="s">
        <v>4</v>
      </c>
      <c r="BF268" s="35" t="s">
        <v>49</v>
      </c>
      <c r="BG268" s="35">
        <f t="shared" si="152"/>
        <v>198.14319170571508</v>
      </c>
      <c r="BH268" s="35">
        <f t="shared" si="153"/>
        <v>206.62011915002364</v>
      </c>
      <c r="BI268" s="35">
        <f t="shared" si="154"/>
        <v>210.55774549290661</v>
      </c>
      <c r="BJ268" s="35">
        <f t="shared" si="155"/>
        <v>227.54154554350379</v>
      </c>
      <c r="BK268" s="35">
        <f t="shared" si="156"/>
        <v>281.78521524881995</v>
      </c>
      <c r="BL268" s="35">
        <f t="shared" si="157"/>
        <v>285.03367221650609</v>
      </c>
      <c r="BN268" s="16" t="s">
        <v>4</v>
      </c>
      <c r="BO268" s="35" t="s">
        <v>50</v>
      </c>
      <c r="BP268" s="35">
        <f t="shared" si="161"/>
        <v>0.20017089207507424</v>
      </c>
      <c r="BQ268" s="35">
        <f t="shared" si="162"/>
        <v>0.20744681538541135</v>
      </c>
      <c r="BR268" s="35">
        <f t="shared" si="163"/>
        <v>0.19482919081750585</v>
      </c>
      <c r="BS268" s="35">
        <f t="shared" si="164"/>
        <v>0.15898607525528025</v>
      </c>
      <c r="BT268" s="35">
        <f t="shared" si="165"/>
        <v>0.12967590139386495</v>
      </c>
      <c r="BU268" s="35">
        <f t="shared" si="166"/>
        <v>0.12372112561206484</v>
      </c>
    </row>
    <row r="269" spans="1:86">
      <c r="C269" s="16" t="s">
        <v>41</v>
      </c>
      <c r="D269" s="17" t="s">
        <v>32</v>
      </c>
      <c r="E269" s="18">
        <f t="shared" ref="E269:J269" si="179">E102</f>
        <v>1905.7063002954264</v>
      </c>
      <c r="F269" s="18">
        <f t="shared" si="179"/>
        <v>1954.992155839944</v>
      </c>
      <c r="G269" s="18">
        <f t="shared" si="179"/>
        <v>2072.8698428123071</v>
      </c>
      <c r="H269" s="18">
        <f t="shared" si="179"/>
        <v>1935.9015186833356</v>
      </c>
      <c r="I269" s="18">
        <f t="shared" si="179"/>
        <v>1888.7769000136757</v>
      </c>
      <c r="J269" s="18">
        <f t="shared" si="179"/>
        <v>2037.0207697626681</v>
      </c>
      <c r="L269" s="16" t="s">
        <v>41</v>
      </c>
      <c r="M269" s="17" t="s">
        <v>32</v>
      </c>
      <c r="N269" s="18">
        <f t="shared" ref="N269:S269" si="180">N102</f>
        <v>7595.9965074142492</v>
      </c>
      <c r="O269" s="18">
        <f t="shared" si="180"/>
        <v>7834.7679960513642</v>
      </c>
      <c r="P269" s="18">
        <f t="shared" si="180"/>
        <v>7792.2821691898444</v>
      </c>
      <c r="Q269" s="18">
        <f t="shared" si="180"/>
        <v>7124.4001025272528</v>
      </c>
      <c r="R269" s="18">
        <f t="shared" si="180"/>
        <v>6944.7113343262799</v>
      </c>
      <c r="S269" s="18">
        <f t="shared" si="180"/>
        <v>7376.7797914409748</v>
      </c>
      <c r="T269" s="2"/>
      <c r="U269" s="16" t="s">
        <v>41</v>
      </c>
      <c r="V269" s="17" t="s">
        <v>32</v>
      </c>
      <c r="W269" s="18">
        <f t="shared" si="145"/>
        <v>9501.7028077096766</v>
      </c>
      <c r="X269" s="18">
        <f t="shared" si="146"/>
        <v>9789.7601518913089</v>
      </c>
      <c r="Y269" s="18">
        <f t="shared" si="147"/>
        <v>9865.1520120021523</v>
      </c>
      <c r="Z269" s="18">
        <f t="shared" si="148"/>
        <v>9060.3016212105886</v>
      </c>
      <c r="AA269" s="18">
        <f t="shared" si="149"/>
        <v>8833.4882343399549</v>
      </c>
      <c r="AB269" s="18">
        <f t="shared" si="150"/>
        <v>9413.8005612036432</v>
      </c>
      <c r="AC269" s="19"/>
      <c r="AD269" s="16" t="s">
        <v>41</v>
      </c>
      <c r="AE269" s="17" t="s">
        <v>47</v>
      </c>
      <c r="AF269" s="18">
        <v>12337.800000000001</v>
      </c>
      <c r="AG269" s="18">
        <v>12888</v>
      </c>
      <c r="AH269" s="18">
        <v>12693.7</v>
      </c>
      <c r="AI269" s="18">
        <v>12327.2</v>
      </c>
      <c r="AJ269" s="18">
        <v>12101.800000000001</v>
      </c>
      <c r="AK269" s="18">
        <v>13021.2</v>
      </c>
      <c r="AL269" s="19"/>
      <c r="AM269" s="16" t="s">
        <v>9</v>
      </c>
      <c r="AN269" s="16" t="s">
        <v>60</v>
      </c>
      <c r="AO269" s="82">
        <f t="shared" ref="AO269:AT269" si="181">SUM(W269:W270)/AF270</f>
        <v>2.7996659629737892</v>
      </c>
      <c r="AP269" s="82">
        <f t="shared" si="181"/>
        <v>2.7801617201435538</v>
      </c>
      <c r="AQ269" s="82">
        <f>SUM(Y269:Y270)/AH270</f>
        <v>2.833748563414114</v>
      </c>
      <c r="AR269" s="82">
        <f t="shared" si="181"/>
        <v>2.8042982796918539</v>
      </c>
      <c r="AS269" s="82">
        <f t="shared" si="181"/>
        <v>2.6969765797260452</v>
      </c>
      <c r="AT269" s="82">
        <f t="shared" si="181"/>
        <v>2.6463344237201309</v>
      </c>
      <c r="AV269" s="16" t="s">
        <v>9</v>
      </c>
      <c r="AW269" s="35" t="s">
        <v>48</v>
      </c>
      <c r="AX269" s="18">
        <v>2266.8739999999998</v>
      </c>
      <c r="AY269" s="18">
        <v>3007.1758</v>
      </c>
      <c r="AZ269" s="18">
        <v>3484.415825</v>
      </c>
      <c r="BA269" s="18">
        <v>2648.4558333333334</v>
      </c>
      <c r="BB269" s="18">
        <v>2776.8362499999998</v>
      </c>
      <c r="BC269" s="18">
        <v>2759.0483416666666</v>
      </c>
      <c r="BE269" s="16" t="s">
        <v>9</v>
      </c>
      <c r="BF269" s="35" t="s">
        <v>49</v>
      </c>
      <c r="BG269" s="35">
        <f t="shared" si="152"/>
        <v>27.968238037199999</v>
      </c>
      <c r="BH269" s="35">
        <f t="shared" si="153"/>
        <v>38.756481710400003</v>
      </c>
      <c r="BI269" s="35">
        <f t="shared" si="154"/>
        <v>44.230129157802502</v>
      </c>
      <c r="BJ269" s="35">
        <f t="shared" si="155"/>
        <v>32.648044748666671</v>
      </c>
      <c r="BK269" s="35">
        <f t="shared" si="156"/>
        <v>33.604716930250007</v>
      </c>
      <c r="BL269" s="35">
        <f t="shared" si="157"/>
        <v>35.926120266510004</v>
      </c>
      <c r="BN269" s="16" t="s">
        <v>9</v>
      </c>
      <c r="BO269" s="35" t="s">
        <v>50</v>
      </c>
      <c r="BP269" s="35">
        <f t="shared" si="161"/>
        <v>0.33973190570931389</v>
      </c>
      <c r="BQ269" s="35">
        <f t="shared" si="162"/>
        <v>0.25259671982207565</v>
      </c>
      <c r="BR269" s="35">
        <f t="shared" si="163"/>
        <v>0.22304144708250012</v>
      </c>
      <c r="BS269" s="35">
        <f t="shared" si="164"/>
        <v>0.27751437156372455</v>
      </c>
      <c r="BT269" s="35">
        <f t="shared" si="165"/>
        <v>0.2628645333533014</v>
      </c>
      <c r="BU269" s="35">
        <f t="shared" si="166"/>
        <v>0.26203220641052916</v>
      </c>
    </row>
    <row r="270" spans="1:86">
      <c r="C270" s="16" t="s">
        <v>22</v>
      </c>
      <c r="D270" s="17" t="s">
        <v>32</v>
      </c>
      <c r="E270" s="18">
        <f t="shared" ref="E270:J270" si="182">E114</f>
        <v>13157.157201937998</v>
      </c>
      <c r="F270" s="18">
        <f t="shared" si="182"/>
        <v>14386.511373420906</v>
      </c>
      <c r="G270" s="18">
        <f t="shared" si="182"/>
        <v>14384.292470934486</v>
      </c>
      <c r="H270" s="18">
        <f t="shared" si="182"/>
        <v>14685.212692396801</v>
      </c>
      <c r="I270" s="18">
        <f t="shared" si="182"/>
        <v>13167.80602796454</v>
      </c>
      <c r="J270" s="18">
        <f t="shared" si="182"/>
        <v>13621.50932835811</v>
      </c>
      <c r="L270" s="16" t="s">
        <v>22</v>
      </c>
      <c r="M270" s="17" t="s">
        <v>32</v>
      </c>
      <c r="N270" s="18">
        <f t="shared" ref="N270:S270" si="183">N114</f>
        <v>15685.924952433936</v>
      </c>
      <c r="O270" s="18">
        <f t="shared" si="183"/>
        <v>14487.43751672418</v>
      </c>
      <c r="P270" s="18">
        <f t="shared" si="183"/>
        <v>14239.095255066532</v>
      </c>
      <c r="Q270" s="18">
        <f t="shared" si="183"/>
        <v>14706.743267699345</v>
      </c>
      <c r="R270" s="18">
        <f t="shared" si="183"/>
        <v>13651.387633383956</v>
      </c>
      <c r="S270" s="18">
        <f t="shared" si="183"/>
        <v>13624.360882233219</v>
      </c>
      <c r="T270" s="2"/>
      <c r="U270" s="16" t="s">
        <v>22</v>
      </c>
      <c r="V270" s="17" t="s">
        <v>32</v>
      </c>
      <c r="W270" s="18">
        <f t="shared" si="145"/>
        <v>28843.082154371936</v>
      </c>
      <c r="X270" s="18">
        <f t="shared" si="146"/>
        <v>28873.948890145086</v>
      </c>
      <c r="Y270" s="18">
        <f t="shared" si="147"/>
        <v>28623.387726001019</v>
      </c>
      <c r="Z270" s="18">
        <f t="shared" si="148"/>
        <v>29391.955960096144</v>
      </c>
      <c r="AA270" s="18">
        <f t="shared" si="149"/>
        <v>26819.193661348494</v>
      </c>
      <c r="AB270" s="18">
        <f t="shared" si="150"/>
        <v>27245.870210591329</v>
      </c>
      <c r="AC270" s="19"/>
      <c r="AD270" s="16" t="s">
        <v>22</v>
      </c>
      <c r="AE270" s="17" t="s">
        <v>47</v>
      </c>
      <c r="AF270" s="18">
        <v>13696.2</v>
      </c>
      <c r="AG270" s="18">
        <v>13906.999999999998</v>
      </c>
      <c r="AH270" s="18">
        <v>13582.199999999997</v>
      </c>
      <c r="AI270" s="18">
        <v>13711.9</v>
      </c>
      <c r="AJ270" s="18">
        <v>13219.5</v>
      </c>
      <c r="AK270" s="18">
        <v>13853</v>
      </c>
      <c r="AL270" s="19"/>
      <c r="AM270" s="49"/>
      <c r="AN270" s="16"/>
      <c r="AO270" s="83"/>
      <c r="AP270" s="83"/>
      <c r="AQ270" s="83"/>
      <c r="AR270" s="83"/>
      <c r="AS270" s="83"/>
      <c r="AT270" s="83"/>
      <c r="AV270" s="49"/>
      <c r="AW270" s="50"/>
      <c r="AX270" s="54"/>
      <c r="AY270" s="54"/>
      <c r="AZ270" s="54"/>
      <c r="BA270" s="54"/>
      <c r="BB270" s="54"/>
      <c r="BC270" s="54"/>
      <c r="BE270" s="49"/>
      <c r="BF270" s="50"/>
      <c r="BG270" s="50"/>
      <c r="BH270" s="50"/>
      <c r="BI270" s="50"/>
      <c r="BJ270" s="50"/>
      <c r="BK270" s="50"/>
      <c r="BL270" s="50"/>
      <c r="BN270" s="49"/>
      <c r="BO270" s="50"/>
      <c r="BP270" s="50"/>
      <c r="BQ270" s="50"/>
      <c r="BR270" s="50"/>
      <c r="BS270" s="50"/>
      <c r="BT270" s="50"/>
      <c r="BU270" s="50"/>
    </row>
    <row r="271" spans="1:86">
      <c r="C271" s="16" t="s">
        <v>5</v>
      </c>
      <c r="D271" s="17" t="s">
        <v>32</v>
      </c>
      <c r="E271" s="18">
        <f t="shared" ref="E271:J271" si="184">E126</f>
        <v>471.72325434221915</v>
      </c>
      <c r="F271" s="18">
        <f t="shared" si="184"/>
        <v>506.69981499927189</v>
      </c>
      <c r="G271" s="18">
        <f t="shared" si="184"/>
        <v>520.04783054621521</v>
      </c>
      <c r="H271" s="18">
        <f t="shared" si="184"/>
        <v>530.4733458865519</v>
      </c>
      <c r="I271" s="18">
        <f t="shared" si="184"/>
        <v>535.70608226590298</v>
      </c>
      <c r="J271" s="18">
        <f t="shared" si="184"/>
        <v>550.59249786907344</v>
      </c>
      <c r="L271" s="16" t="s">
        <v>5</v>
      </c>
      <c r="M271" s="17" t="s">
        <v>32</v>
      </c>
      <c r="N271" s="18">
        <f t="shared" ref="N271:S271" si="185">N126</f>
        <v>2760.1104421207428</v>
      </c>
      <c r="O271" s="18">
        <f t="shared" si="185"/>
        <v>2885.9723277480489</v>
      </c>
      <c r="P271" s="18">
        <f t="shared" si="185"/>
        <v>2821.6906749480927</v>
      </c>
      <c r="Q271" s="18">
        <f t="shared" si="185"/>
        <v>2870.7154421067394</v>
      </c>
      <c r="R271" s="18">
        <f t="shared" si="185"/>
        <v>2696.9234480245614</v>
      </c>
      <c r="S271" s="18">
        <f t="shared" si="185"/>
        <v>2808.5170603458387</v>
      </c>
      <c r="T271" s="2"/>
      <c r="U271" s="16" t="s">
        <v>5</v>
      </c>
      <c r="V271" s="17" t="s">
        <v>32</v>
      </c>
      <c r="W271" s="18">
        <f t="shared" si="145"/>
        <v>3231.8336964629621</v>
      </c>
      <c r="X271" s="18">
        <f t="shared" si="146"/>
        <v>3392.6721427473208</v>
      </c>
      <c r="Y271" s="18">
        <f t="shared" si="147"/>
        <v>3341.7385054943079</v>
      </c>
      <c r="Z271" s="18">
        <f t="shared" si="148"/>
        <v>3401.188787993291</v>
      </c>
      <c r="AA271" s="18">
        <f t="shared" si="149"/>
        <v>3232.6295302904646</v>
      </c>
      <c r="AB271" s="18">
        <f t="shared" si="150"/>
        <v>3359.1095582149119</v>
      </c>
      <c r="AC271" s="19"/>
      <c r="AD271" s="16" t="s">
        <v>5</v>
      </c>
      <c r="AE271" s="17" t="s">
        <v>47</v>
      </c>
      <c r="AF271" s="18">
        <v>4228.0100000000011</v>
      </c>
      <c r="AG271" s="18">
        <v>4312.2359999999999</v>
      </c>
      <c r="AH271" s="18">
        <v>4219.3420000000006</v>
      </c>
      <c r="AI271" s="18">
        <v>4252.8280000000004</v>
      </c>
      <c r="AJ271" s="18">
        <v>4324.137999999999</v>
      </c>
      <c r="AK271" s="18">
        <v>4476.2780000000002</v>
      </c>
      <c r="AL271" s="19"/>
      <c r="AM271" s="16" t="s">
        <v>5</v>
      </c>
      <c r="AN271" s="16" t="s">
        <v>60</v>
      </c>
      <c r="AO271" s="82">
        <f t="shared" ref="AO271:AT271" si="186">W271/AF271</f>
        <v>0.76438648358517625</v>
      </c>
      <c r="AP271" s="82">
        <f t="shared" si="186"/>
        <v>0.7867547468986672</v>
      </c>
      <c r="AQ271" s="82">
        <f t="shared" si="186"/>
        <v>0.79200465510838125</v>
      </c>
      <c r="AR271" s="82">
        <f t="shared" si="186"/>
        <v>0.79974755339112957</v>
      </c>
      <c r="AS271" s="82">
        <f t="shared" si="186"/>
        <v>0.74757779013770265</v>
      </c>
      <c r="AT271" s="82">
        <f t="shared" si="186"/>
        <v>0.75042469619065477</v>
      </c>
      <c r="AV271" s="16" t="s">
        <v>5</v>
      </c>
      <c r="AW271" s="35" t="s">
        <v>48</v>
      </c>
      <c r="AX271" s="18">
        <v>2288</v>
      </c>
      <c r="AY271" s="18">
        <v>2642</v>
      </c>
      <c r="AZ271" s="18">
        <v>2388</v>
      </c>
      <c r="BA271" s="18">
        <v>2277</v>
      </c>
      <c r="BB271" s="18">
        <v>2144</v>
      </c>
      <c r="BC271" s="18">
        <v>2003</v>
      </c>
      <c r="BE271" s="16" t="s">
        <v>5</v>
      </c>
      <c r="BF271" s="35" t="s">
        <v>49</v>
      </c>
      <c r="BG271" s="35">
        <f t="shared" si="152"/>
        <v>9.6736868800000035</v>
      </c>
      <c r="BH271" s="35">
        <f t="shared" si="153"/>
        <v>11.392927512</v>
      </c>
      <c r="BI271" s="35">
        <f t="shared" si="154"/>
        <v>10.075788696</v>
      </c>
      <c r="BJ271" s="35">
        <f t="shared" si="155"/>
        <v>9.6836893560000004</v>
      </c>
      <c r="BK271" s="35">
        <f t="shared" si="156"/>
        <v>9.2709518719999977</v>
      </c>
      <c r="BL271" s="35">
        <f t="shared" si="157"/>
        <v>8.9659848340000003</v>
      </c>
      <c r="BN271" s="16" t="s">
        <v>5</v>
      </c>
      <c r="BO271" s="35" t="s">
        <v>50</v>
      </c>
      <c r="BP271" s="35">
        <f t="shared" si="161"/>
        <v>0.33408500156694765</v>
      </c>
      <c r="BQ271" s="35">
        <f t="shared" si="162"/>
        <v>0.29778756506384069</v>
      </c>
      <c r="BR271" s="35">
        <f t="shared" si="163"/>
        <v>0.3316602408326555</v>
      </c>
      <c r="BS271" s="35">
        <f t="shared" si="164"/>
        <v>0.35122861369834413</v>
      </c>
      <c r="BT271" s="35">
        <f t="shared" si="165"/>
        <v>0.34868367077318224</v>
      </c>
      <c r="BU271" s="35">
        <f t="shared" si="166"/>
        <v>0.37465037253652261</v>
      </c>
    </row>
    <row r="272" spans="1:86">
      <c r="C272" s="16" t="s">
        <v>42</v>
      </c>
      <c r="D272" s="17" t="s">
        <v>32</v>
      </c>
      <c r="E272" s="18">
        <f t="shared" ref="E272:J272" si="187">E138</f>
        <v>475.26782081815884</v>
      </c>
      <c r="F272" s="18">
        <f t="shared" si="187"/>
        <v>474.79468126733138</v>
      </c>
      <c r="G272" s="18">
        <f t="shared" si="187"/>
        <v>407.2530589883051</v>
      </c>
      <c r="H272" s="18">
        <f t="shared" si="187"/>
        <v>442.85642549326838</v>
      </c>
      <c r="I272" s="18">
        <f t="shared" si="187"/>
        <v>444.6964332349242</v>
      </c>
      <c r="J272" s="18">
        <f t="shared" si="187"/>
        <v>605.98621346509412</v>
      </c>
      <c r="L272" s="16" t="s">
        <v>42</v>
      </c>
      <c r="M272" s="17" t="s">
        <v>32</v>
      </c>
      <c r="N272" s="18">
        <f t="shared" ref="N272:S272" si="188">N138</f>
        <v>344.84499775054621</v>
      </c>
      <c r="O272" s="18">
        <f t="shared" si="188"/>
        <v>180.73922621057838</v>
      </c>
      <c r="P272" s="18">
        <f t="shared" si="188"/>
        <v>141.0627045952034</v>
      </c>
      <c r="Q272" s="18">
        <f t="shared" si="188"/>
        <v>167.2038594740975</v>
      </c>
      <c r="R272" s="18">
        <f t="shared" si="188"/>
        <v>124.22490937484365</v>
      </c>
      <c r="S272" s="18">
        <f t="shared" si="188"/>
        <v>681.36157222066038</v>
      </c>
      <c r="T272" s="2"/>
      <c r="U272" s="16" t="s">
        <v>42</v>
      </c>
      <c r="V272" s="17" t="s">
        <v>32</v>
      </c>
      <c r="W272" s="18">
        <f t="shared" si="145"/>
        <v>820.11281856870505</v>
      </c>
      <c r="X272" s="18">
        <f t="shared" si="146"/>
        <v>655.53390747790979</v>
      </c>
      <c r="Y272" s="18">
        <f t="shared" si="147"/>
        <v>548.31576358350844</v>
      </c>
      <c r="Z272" s="18">
        <f t="shared" si="148"/>
        <v>610.06028496736587</v>
      </c>
      <c r="AA272" s="18">
        <f t="shared" si="149"/>
        <v>568.92134260976786</v>
      </c>
      <c r="AB272" s="18">
        <f t="shared" si="150"/>
        <v>1287.3477856857544</v>
      </c>
      <c r="AC272" s="19"/>
      <c r="AD272" s="16" t="s">
        <v>42</v>
      </c>
      <c r="AE272" s="17" t="s">
        <v>47</v>
      </c>
      <c r="AF272" s="18">
        <v>2596.3697400000001</v>
      </c>
      <c r="AG272" s="18">
        <v>2899.6797899999997</v>
      </c>
      <c r="AH272" s="18">
        <v>3352.78107</v>
      </c>
      <c r="AI272" s="18">
        <v>3802.3255440000007</v>
      </c>
      <c r="AJ272" s="18">
        <v>3904.4201889999999</v>
      </c>
      <c r="AK272" s="18">
        <v>4119.7160400000002</v>
      </c>
      <c r="AL272" s="19"/>
      <c r="AM272" s="16" t="s">
        <v>7</v>
      </c>
      <c r="AN272" s="16" t="s">
        <v>60</v>
      </c>
      <c r="AO272" s="82">
        <f t="shared" ref="AO272:AT272" si="189">SUM(W272:W273)/AF273</f>
        <v>35.99347292295873</v>
      </c>
      <c r="AP272" s="82">
        <f t="shared" si="189"/>
        <v>36.906752965885666</v>
      </c>
      <c r="AQ272" s="82">
        <f t="shared" si="189"/>
        <v>37.801243447636288</v>
      </c>
      <c r="AR272" s="82">
        <f t="shared" si="189"/>
        <v>40.815393446555802</v>
      </c>
      <c r="AS272" s="82">
        <f t="shared" si="189"/>
        <v>40.627882473140808</v>
      </c>
      <c r="AT272" s="82">
        <f t="shared" si="189"/>
        <v>40.520110504411171</v>
      </c>
      <c r="AV272" s="16" t="s">
        <v>7</v>
      </c>
      <c r="AW272" s="35" t="s">
        <v>48</v>
      </c>
      <c r="AX272" s="18">
        <v>13772.33625</v>
      </c>
      <c r="AY272" s="18">
        <v>18476.359575000002</v>
      </c>
      <c r="AZ272" s="18">
        <v>25617.287083333333</v>
      </c>
      <c r="BA272" s="18">
        <v>21495.223316666667</v>
      </c>
      <c r="BB272" s="18">
        <v>16812.904991666666</v>
      </c>
      <c r="BC272" s="18">
        <v>15173.735341666668</v>
      </c>
      <c r="BE272" s="16" t="s">
        <v>7</v>
      </c>
      <c r="BF272" s="35" t="s">
        <v>49</v>
      </c>
      <c r="BG272" s="35">
        <f t="shared" si="152"/>
        <v>35.758077088605077</v>
      </c>
      <c r="BH272" s="35">
        <f t="shared" si="153"/>
        <v>53.575526452400489</v>
      </c>
      <c r="BI272" s="35">
        <f t="shared" si="154"/>
        <v>85.889155197755514</v>
      </c>
      <c r="BJ272" s="35">
        <f t="shared" si="155"/>
        <v>81.731836690946082</v>
      </c>
      <c r="BK272" s="35">
        <f t="shared" si="156"/>
        <v>65.644645685202207</v>
      </c>
      <c r="BL272" s="35">
        <f t="shared" si="157"/>
        <v>62.511480873779057</v>
      </c>
      <c r="BN272" s="16" t="s">
        <v>7</v>
      </c>
      <c r="BO272" s="35" t="s">
        <v>50</v>
      </c>
      <c r="BP272" s="35">
        <f>W272/1000/BG272</f>
        <v>2.2935036929881449E-2</v>
      </c>
      <c r="BQ272" s="35">
        <f t="shared" si="162"/>
        <v>1.2235696984897067E-2</v>
      </c>
      <c r="BR272" s="35">
        <f t="shared" si="163"/>
        <v>6.3839929770066854E-3</v>
      </c>
      <c r="BS272" s="35">
        <f t="shared" si="164"/>
        <v>7.4641695288727786E-3</v>
      </c>
      <c r="BT272" s="35">
        <f t="shared" si="165"/>
        <v>8.6666831189556662E-3</v>
      </c>
      <c r="BU272" s="35">
        <f t="shared" si="166"/>
        <v>2.0593781617253972E-2</v>
      </c>
    </row>
    <row r="273" spans="3:73">
      <c r="C273" s="16" t="s">
        <v>43</v>
      </c>
      <c r="D273" s="17" t="s">
        <v>32</v>
      </c>
      <c r="E273" s="18">
        <f t="shared" ref="E273:J273" si="190">E150</f>
        <v>74150.804894106026</v>
      </c>
      <c r="F273" s="18">
        <f t="shared" si="190"/>
        <v>84689.215265253501</v>
      </c>
      <c r="G273" s="18">
        <f t="shared" si="190"/>
        <v>102563.45333729377</v>
      </c>
      <c r="H273" s="18">
        <f t="shared" si="190"/>
        <v>125079.88947125468</v>
      </c>
      <c r="I273" s="18">
        <f t="shared" si="190"/>
        <v>134341.39746833083</v>
      </c>
      <c r="J273" s="18">
        <f t="shared" si="190"/>
        <v>142641.84916642055</v>
      </c>
      <c r="L273" s="16" t="s">
        <v>43</v>
      </c>
      <c r="M273" s="17" t="s">
        <v>32</v>
      </c>
      <c r="N273" s="18">
        <f t="shared" ref="N273:S273" si="191">N150</f>
        <v>16661.265654593593</v>
      </c>
      <c r="O273" s="18">
        <f t="shared" si="191"/>
        <v>14643.025962446049</v>
      </c>
      <c r="P273" s="18">
        <f t="shared" si="191"/>
        <v>15104.059532915679</v>
      </c>
      <c r="Q273" s="18">
        <f t="shared" si="191"/>
        <v>14474.192878595237</v>
      </c>
      <c r="R273" s="18">
        <f t="shared" si="191"/>
        <v>14644.979360938056</v>
      </c>
      <c r="S273" s="18">
        <f t="shared" si="191"/>
        <v>15043.352589850034</v>
      </c>
      <c r="T273" s="2"/>
      <c r="U273" s="16" t="s">
        <v>43</v>
      </c>
      <c r="V273" s="17" t="s">
        <v>32</v>
      </c>
      <c r="W273" s="18">
        <f t="shared" si="145"/>
        <v>90812.070548699616</v>
      </c>
      <c r="X273" s="18">
        <f t="shared" si="146"/>
        <v>99332.241227699546</v>
      </c>
      <c r="Y273" s="18">
        <f t="shared" si="147"/>
        <v>117667.51287020945</v>
      </c>
      <c r="Z273" s="18">
        <f t="shared" si="148"/>
        <v>139554.08234984992</v>
      </c>
      <c r="AA273" s="18">
        <f t="shared" si="149"/>
        <v>148986.37682926888</v>
      </c>
      <c r="AB273" s="18">
        <f t="shared" si="150"/>
        <v>157685.20175627057</v>
      </c>
      <c r="AC273" s="19"/>
      <c r="AD273" s="16" t="s">
        <v>43</v>
      </c>
      <c r="AE273" s="17" t="s">
        <v>47</v>
      </c>
      <c r="AF273" s="18">
        <v>2545.7999999999997</v>
      </c>
      <c r="AG273" s="18">
        <v>2709.2000000000003</v>
      </c>
      <c r="AH273" s="18">
        <v>3127.2999999999997</v>
      </c>
      <c r="AI273" s="18">
        <v>3434.1</v>
      </c>
      <c r="AJ273" s="18">
        <v>3681.1000000000004</v>
      </c>
      <c r="AK273" s="18">
        <v>3923.2999999999997</v>
      </c>
      <c r="AL273" s="19"/>
      <c r="AM273" s="49"/>
      <c r="AN273" s="16"/>
      <c r="AO273" s="83"/>
      <c r="AP273" s="83"/>
      <c r="AQ273" s="83"/>
      <c r="AR273" s="83"/>
      <c r="AS273" s="83"/>
      <c r="AT273" s="83"/>
      <c r="AV273" s="49"/>
      <c r="AW273" s="50"/>
      <c r="AX273" s="54"/>
      <c r="AY273" s="54"/>
      <c r="AZ273" s="54"/>
      <c r="BA273" s="54"/>
      <c r="BB273" s="54"/>
      <c r="BC273" s="54"/>
      <c r="BE273" s="49"/>
      <c r="BF273" s="50"/>
      <c r="BG273" s="50"/>
      <c r="BH273" s="50"/>
      <c r="BI273" s="50"/>
      <c r="BJ273" s="50"/>
      <c r="BK273" s="50"/>
      <c r="BL273" s="50"/>
      <c r="BN273" s="49"/>
      <c r="BO273" s="50"/>
      <c r="BP273" s="50"/>
      <c r="BQ273" s="50"/>
      <c r="BR273" s="50"/>
      <c r="BS273" s="50"/>
      <c r="BT273" s="50"/>
      <c r="BU273" s="50"/>
    </row>
    <row r="274" spans="3:73">
      <c r="C274" s="16" t="s">
        <v>19</v>
      </c>
      <c r="D274" s="17" t="s">
        <v>32</v>
      </c>
      <c r="E274" s="18">
        <f t="shared" ref="E274:J274" si="192">E162</f>
        <v>1462.8670610734878</v>
      </c>
      <c r="F274" s="18">
        <f t="shared" si="192"/>
        <v>2072.7871116864894</v>
      </c>
      <c r="G274" s="18">
        <f t="shared" si="192"/>
        <v>2658.7414738306152</v>
      </c>
      <c r="H274" s="18">
        <f t="shared" si="192"/>
        <v>3514.4695433189049</v>
      </c>
      <c r="I274" s="18">
        <f t="shared" si="192"/>
        <v>4972.1293204235062</v>
      </c>
      <c r="J274" s="18">
        <f t="shared" si="192"/>
        <v>7345.88037417537</v>
      </c>
      <c r="L274" s="16" t="s">
        <v>19</v>
      </c>
      <c r="M274" s="17" t="s">
        <v>32</v>
      </c>
      <c r="N274" s="18">
        <f t="shared" ref="N274:S274" si="193">N162</f>
        <v>373.59638433240133</v>
      </c>
      <c r="O274" s="18">
        <f t="shared" si="193"/>
        <v>499.85931447861986</v>
      </c>
      <c r="P274" s="18">
        <f t="shared" si="193"/>
        <v>653.2361710303411</v>
      </c>
      <c r="Q274" s="18">
        <f t="shared" si="193"/>
        <v>857.96122004147264</v>
      </c>
      <c r="R274" s="18">
        <f t="shared" si="193"/>
        <v>921.66014178497335</v>
      </c>
      <c r="S274" s="18">
        <f t="shared" si="193"/>
        <v>1310.1631536941118</v>
      </c>
      <c r="T274" s="2"/>
      <c r="U274" s="16" t="s">
        <v>19</v>
      </c>
      <c r="V274" s="17" t="s">
        <v>32</v>
      </c>
      <c r="W274" s="18">
        <f t="shared" si="145"/>
        <v>1836.4634454058892</v>
      </c>
      <c r="X274" s="18">
        <f t="shared" si="146"/>
        <v>2572.6464261651095</v>
      </c>
      <c r="Y274" s="18">
        <f t="shared" si="147"/>
        <v>3311.9776448609564</v>
      </c>
      <c r="Z274" s="18">
        <f t="shared" si="148"/>
        <v>4372.4307633603776</v>
      </c>
      <c r="AA274" s="18">
        <f t="shared" si="149"/>
        <v>5893.7894622084796</v>
      </c>
      <c r="AB274" s="18">
        <f t="shared" si="150"/>
        <v>8656.0435278694822</v>
      </c>
      <c r="AC274" s="19"/>
      <c r="AD274" s="16" t="s">
        <v>19</v>
      </c>
      <c r="AE274" s="17" t="s">
        <v>47</v>
      </c>
      <c r="AF274" s="18">
        <v>488.77754863895683</v>
      </c>
      <c r="AG274" s="18">
        <v>666.98353477928265</v>
      </c>
      <c r="AH274" s="18">
        <v>805.94445146163878</v>
      </c>
      <c r="AI274" s="18">
        <v>1078.0847424724723</v>
      </c>
      <c r="AJ274" s="18">
        <v>1469.897217077948</v>
      </c>
      <c r="AK274" s="18">
        <v>1956.9541438409451</v>
      </c>
      <c r="AL274" s="19"/>
      <c r="AM274" s="16" t="s">
        <v>19</v>
      </c>
      <c r="AN274" s="16" t="s">
        <v>60</v>
      </c>
      <c r="AO274" s="82">
        <f t="shared" ref="AO274:AT274" si="194">W274/AF274</f>
        <v>3.7572581852822</v>
      </c>
      <c r="AP274" s="82">
        <f t="shared" si="194"/>
        <v>3.8571363339822868</v>
      </c>
      <c r="AQ274" s="82">
        <f t="shared" si="194"/>
        <v>4.1094366229017947</v>
      </c>
      <c r="AR274" s="82">
        <f t="shared" si="194"/>
        <v>4.055739397009436</v>
      </c>
      <c r="AS274" s="82">
        <f t="shared" si="194"/>
        <v>4.009660943453528</v>
      </c>
      <c r="AT274" s="82">
        <f t="shared" si="194"/>
        <v>4.4232224628831247</v>
      </c>
      <c r="AV274" s="16" t="s">
        <v>19</v>
      </c>
      <c r="AW274" s="35" t="s">
        <v>48</v>
      </c>
      <c r="AX274" s="18">
        <v>422</v>
      </c>
      <c r="AY274" s="18">
        <v>1244</v>
      </c>
      <c r="AZ274" s="18">
        <v>5414.0249759846301</v>
      </c>
      <c r="BA274" s="18">
        <v>3790.5914503220774</v>
      </c>
      <c r="BB274" s="18">
        <v>946</v>
      </c>
      <c r="BC274" s="18">
        <v>767.75675707972573</v>
      </c>
      <c r="BE274" s="16" t="s">
        <v>19</v>
      </c>
      <c r="BF274" s="35" t="s">
        <v>49</v>
      </c>
      <c r="BG274" s="35">
        <f t="shared" si="152"/>
        <v>0.20626412552563977</v>
      </c>
      <c r="BH274" s="35">
        <f t="shared" si="153"/>
        <v>0.82972751726542759</v>
      </c>
      <c r="BI274" s="35">
        <f t="shared" si="154"/>
        <v>4.3634033894695445</v>
      </c>
      <c r="BJ274" s="35">
        <f t="shared" si="155"/>
        <v>4.0865788075388325</v>
      </c>
      <c r="BK274" s="35">
        <f t="shared" si="156"/>
        <v>1.3905227673557388</v>
      </c>
      <c r="BL274" s="35">
        <f t="shared" si="157"/>
        <v>1.502464767229055</v>
      </c>
      <c r="BN274" s="16" t="s">
        <v>19</v>
      </c>
      <c r="BO274" s="35" t="s">
        <v>50</v>
      </c>
      <c r="BP274" s="35">
        <f t="shared" si="161"/>
        <v>8.9034554153606642</v>
      </c>
      <c r="BQ274" s="35">
        <f t="shared" si="162"/>
        <v>3.1005919083458902</v>
      </c>
      <c r="BR274" s="35">
        <f t="shared" si="163"/>
        <v>0.75903540178154161</v>
      </c>
      <c r="BS274" s="35">
        <f t="shared" si="164"/>
        <v>1.0699489644722404</v>
      </c>
      <c r="BT274" s="35">
        <f t="shared" si="165"/>
        <v>4.2385422235238135</v>
      </c>
      <c r="BU274" s="35">
        <f t="shared" si="166"/>
        <v>5.7612289596870419</v>
      </c>
    </row>
    <row r="275" spans="3:73">
      <c r="C275" s="16" t="s">
        <v>18</v>
      </c>
      <c r="D275" s="17" t="s">
        <v>32</v>
      </c>
      <c r="E275" s="18">
        <f t="shared" ref="E275:J275" si="195">E174</f>
        <v>38593.468859308836</v>
      </c>
      <c r="F275" s="18">
        <f t="shared" si="195"/>
        <v>42913.974048255863</v>
      </c>
      <c r="G275" s="18">
        <f t="shared" si="195"/>
        <v>41371.547975518399</v>
      </c>
      <c r="H275" s="18">
        <f t="shared" si="195"/>
        <v>42352.014861297896</v>
      </c>
      <c r="I275" s="18">
        <f t="shared" si="195"/>
        <v>43801.181113523089</v>
      </c>
      <c r="J275" s="18">
        <f t="shared" si="195"/>
        <v>45315.749412848141</v>
      </c>
      <c r="L275" s="16" t="s">
        <v>18</v>
      </c>
      <c r="M275" s="17" t="s">
        <v>32</v>
      </c>
      <c r="N275" s="18">
        <f t="shared" ref="N275:S275" si="196">N174</f>
        <v>24837.256191524135</v>
      </c>
      <c r="O275" s="18">
        <f t="shared" si="196"/>
        <v>27759.907118676638</v>
      </c>
      <c r="P275" s="18">
        <f t="shared" si="196"/>
        <v>23547.609507703673</v>
      </c>
      <c r="Q275" s="18">
        <f t="shared" si="196"/>
        <v>23740.00489079249</v>
      </c>
      <c r="R275" s="18">
        <f t="shared" si="196"/>
        <v>24031.919113729185</v>
      </c>
      <c r="S275" s="18">
        <f t="shared" si="196"/>
        <v>23603.917283995503</v>
      </c>
      <c r="T275" s="2"/>
      <c r="U275" s="16" t="s">
        <v>18</v>
      </c>
      <c r="V275" s="17" t="s">
        <v>32</v>
      </c>
      <c r="W275" s="18">
        <f t="shared" ref="W275:AB275" si="197">E275+N275</f>
        <v>63430.725050832974</v>
      </c>
      <c r="X275" s="18">
        <f t="shared" si="197"/>
        <v>70673.881166932493</v>
      </c>
      <c r="Y275" s="18">
        <f t="shared" si="197"/>
        <v>64919.157483222072</v>
      </c>
      <c r="Z275" s="18">
        <f t="shared" si="197"/>
        <v>66092.019752090389</v>
      </c>
      <c r="AA275" s="18">
        <f t="shared" si="197"/>
        <v>67833.100227252275</v>
      </c>
      <c r="AB275" s="18">
        <f t="shared" si="197"/>
        <v>68919.666696843648</v>
      </c>
      <c r="AC275" s="19"/>
      <c r="AD275" s="16" t="s">
        <v>18</v>
      </c>
      <c r="AE275" s="17" t="s">
        <v>47</v>
      </c>
      <c r="AF275" s="18">
        <v>2332271.0000000005</v>
      </c>
      <c r="AG275" s="18">
        <v>2471564.9</v>
      </c>
      <c r="AH275" s="18">
        <v>2395316.7999999998</v>
      </c>
      <c r="AI275" s="18">
        <v>2456847.6999999997</v>
      </c>
      <c r="AJ275" s="18">
        <v>2485381.5</v>
      </c>
      <c r="AK275" s="18">
        <v>2467154.5</v>
      </c>
      <c r="AL275" s="19"/>
      <c r="AM275" s="16"/>
      <c r="AN275" s="16"/>
      <c r="AO275" s="84"/>
      <c r="AP275" s="84"/>
      <c r="AQ275" s="84"/>
      <c r="AR275" s="84"/>
      <c r="AS275" s="84"/>
      <c r="AT275" s="84"/>
      <c r="AV275" s="55" t="s">
        <v>18</v>
      </c>
      <c r="AW275" s="35" t="s">
        <v>48</v>
      </c>
      <c r="AX275" s="56">
        <v>108.20369318181818</v>
      </c>
      <c r="AY275" s="56">
        <v>160.06187583170706</v>
      </c>
      <c r="AZ275" s="56">
        <v>120.40683632596533</v>
      </c>
      <c r="BA275" s="56">
        <v>119.73277541473908</v>
      </c>
      <c r="BB275" s="56">
        <v>109.38486357114789</v>
      </c>
      <c r="BC275" s="56">
        <v>98.312569444444449</v>
      </c>
      <c r="BE275" s="55" t="s">
        <v>18</v>
      </c>
      <c r="BF275" s="35" t="s">
        <v>49</v>
      </c>
      <c r="BG275" s="35">
        <f t="shared" ref="BG275:BL275" si="198">AX275*AF275/1000000</f>
        <v>252.36033570085235</v>
      </c>
      <c r="BH275" s="35">
        <f t="shared" si="198"/>
        <v>395.60331413380544</v>
      </c>
      <c r="BI275" s="35">
        <f t="shared" si="198"/>
        <v>288.41251788643501</v>
      </c>
      <c r="BJ275" s="35">
        <f t="shared" si="198"/>
        <v>294.16519389231826</v>
      </c>
      <c r="BK275" s="35">
        <f t="shared" si="198"/>
        <v>271.86311629975489</v>
      </c>
      <c r="BL275" s="35">
        <f t="shared" si="198"/>
        <v>242.55229811142362</v>
      </c>
      <c r="BN275" s="55" t="s">
        <v>18</v>
      </c>
      <c r="BO275" s="35" t="s">
        <v>50</v>
      </c>
      <c r="BP275" s="35">
        <f t="shared" ref="BP275:BU275" si="199">W275/1000/BG275</f>
        <v>0.25134982038549702</v>
      </c>
      <c r="BQ275" s="35">
        <f t="shared" si="199"/>
        <v>0.17864835465718157</v>
      </c>
      <c r="BR275" s="35">
        <f t="shared" si="199"/>
        <v>0.22509133084433097</v>
      </c>
      <c r="BS275" s="35">
        <f t="shared" si="199"/>
        <v>0.22467654611879051</v>
      </c>
      <c r="BT275" s="35">
        <f t="shared" si="199"/>
        <v>0.24951196451548008</v>
      </c>
      <c r="BU275" s="35">
        <f t="shared" si="199"/>
        <v>0.28414353206904414</v>
      </c>
    </row>
    <row r="276" spans="3:73">
      <c r="C276" s="16" t="s">
        <v>20</v>
      </c>
      <c r="D276" s="17" t="s">
        <v>32</v>
      </c>
      <c r="E276" s="18">
        <f t="shared" ref="E276:J276" si="200">E186</f>
        <v>3196170.2599742343</v>
      </c>
      <c r="F276" s="18">
        <f t="shared" si="200"/>
        <v>3260376.0984987165</v>
      </c>
      <c r="G276" s="18">
        <f t="shared" si="200"/>
        <v>3179883.3392504361</v>
      </c>
      <c r="H276" s="18">
        <f t="shared" si="200"/>
        <v>3219430.0174684823</v>
      </c>
      <c r="I276" s="18">
        <f t="shared" si="200"/>
        <v>3183282.9583655209</v>
      </c>
      <c r="J276" s="18">
        <f t="shared" si="200"/>
        <v>3125387.6635264764</v>
      </c>
      <c r="L276" s="16" t="s">
        <v>20</v>
      </c>
      <c r="M276" s="17" t="s">
        <v>32</v>
      </c>
      <c r="N276" s="18">
        <f t="shared" ref="N276:S276" si="201">N186</f>
        <v>115358.77499357812</v>
      </c>
      <c r="O276" s="18">
        <f t="shared" si="201"/>
        <v>114448.78529444603</v>
      </c>
      <c r="P276" s="18">
        <f t="shared" si="201"/>
        <v>104455.07557101296</v>
      </c>
      <c r="Q276" s="18">
        <f t="shared" si="201"/>
        <v>101970.95796784283</v>
      </c>
      <c r="R276" s="18">
        <f t="shared" si="201"/>
        <v>98455.468238177418</v>
      </c>
      <c r="S276" s="18">
        <f t="shared" si="201"/>
        <v>95714.85793760352</v>
      </c>
      <c r="T276" s="2"/>
      <c r="U276" s="16" t="s">
        <v>20</v>
      </c>
      <c r="V276" s="17" t="s">
        <v>32</v>
      </c>
      <c r="W276" s="18">
        <f t="shared" si="145"/>
        <v>3311529.0349678122</v>
      </c>
      <c r="X276" s="18">
        <f t="shared" si="146"/>
        <v>3374824.8837931626</v>
      </c>
      <c r="Y276" s="18">
        <f t="shared" si="147"/>
        <v>3284338.4148214492</v>
      </c>
      <c r="Z276" s="18">
        <f t="shared" si="148"/>
        <v>3321400.9754363252</v>
      </c>
      <c r="AA276" s="18">
        <f t="shared" si="149"/>
        <v>3281738.4266036982</v>
      </c>
      <c r="AB276" s="18">
        <f t="shared" si="150"/>
        <v>3221102.5214640801</v>
      </c>
      <c r="AC276" s="19"/>
      <c r="AD276" s="16" t="s">
        <v>20</v>
      </c>
      <c r="AE276" s="17" t="s">
        <v>47</v>
      </c>
      <c r="AF276" s="18">
        <v>1883900</v>
      </c>
      <c r="AG276" s="18">
        <v>1963300</v>
      </c>
      <c r="AH276" s="18">
        <v>1889800</v>
      </c>
      <c r="AI276" s="18">
        <v>1893200</v>
      </c>
      <c r="AJ276" s="18">
        <v>1879400</v>
      </c>
      <c r="AK276" s="18">
        <v>1855000</v>
      </c>
      <c r="AL276" s="19"/>
      <c r="AM276" s="16" t="s">
        <v>20</v>
      </c>
      <c r="AN276" s="16" t="s">
        <v>60</v>
      </c>
      <c r="AO276" s="82">
        <f t="shared" ref="AO276:AT276" si="202">(W276+W275)/AF276</f>
        <v>1.7914750039910001</v>
      </c>
      <c r="AP276" s="82">
        <f t="shared" si="202"/>
        <v>1.7549527657312154</v>
      </c>
      <c r="AQ276" s="82">
        <f t="shared" si="202"/>
        <v>1.77228149661587</v>
      </c>
      <c r="AR276" s="82">
        <f t="shared" si="202"/>
        <v>1.789294842165865</v>
      </c>
      <c r="AS276" s="82">
        <f t="shared" si="202"/>
        <v>1.782255787395419</v>
      </c>
      <c r="AT276" s="82">
        <f t="shared" si="202"/>
        <v>1.7735968669331126</v>
      </c>
      <c r="AV276" s="16" t="s">
        <v>20</v>
      </c>
      <c r="AW276" s="35" t="s">
        <v>48</v>
      </c>
      <c r="AX276" s="18">
        <v>785.21794421646177</v>
      </c>
      <c r="AY276" s="18">
        <v>957.65685180159119</v>
      </c>
      <c r="AZ276" s="18">
        <v>820.90170689907143</v>
      </c>
      <c r="BA276" s="18">
        <v>697.65764061039067</v>
      </c>
      <c r="BB276" s="18">
        <v>646.05425953421377</v>
      </c>
      <c r="BC276" s="18">
        <v>648.48081643409989</v>
      </c>
      <c r="BE276" s="16" t="s">
        <v>20</v>
      </c>
      <c r="BF276" s="35" t="s">
        <v>49</v>
      </c>
      <c r="BG276" s="35">
        <f t="shared" si="152"/>
        <v>1479.2720851093925</v>
      </c>
      <c r="BH276" s="35">
        <f t="shared" si="153"/>
        <v>1880.1676971420641</v>
      </c>
      <c r="BI276" s="35">
        <f t="shared" si="154"/>
        <v>1551.3400456978652</v>
      </c>
      <c r="BJ276" s="35">
        <f>BA276*AI276/1000000</f>
        <v>1320.8054452035915</v>
      </c>
      <c r="BK276" s="35">
        <f t="shared" si="156"/>
        <v>1214.1943753686014</v>
      </c>
      <c r="BL276" s="35">
        <f t="shared" si="157"/>
        <v>1202.9319144852552</v>
      </c>
      <c r="BN276" s="16" t="s">
        <v>20</v>
      </c>
      <c r="BO276" s="35" t="s">
        <v>50</v>
      </c>
      <c r="BP276" s="35">
        <f t="shared" si="161"/>
        <v>2.2386206488327831</v>
      </c>
      <c r="BQ276" s="35">
        <f t="shared" si="162"/>
        <v>1.7949595075604383</v>
      </c>
      <c r="BR276" s="35">
        <f t="shared" si="163"/>
        <v>2.1170976820520355</v>
      </c>
      <c r="BS276" s="35">
        <f t="shared" si="164"/>
        <v>2.5146784392037071</v>
      </c>
      <c r="BT276" s="35">
        <f t="shared" si="165"/>
        <v>2.7028114222711981</v>
      </c>
      <c r="BU276" s="35">
        <f t="shared" si="166"/>
        <v>2.6777097545395301</v>
      </c>
    </row>
    <row r="277" spans="3:73">
      <c r="C277" s="16" t="s">
        <v>44</v>
      </c>
      <c r="D277" s="17" t="s">
        <v>32</v>
      </c>
      <c r="E277" s="18">
        <f t="shared" ref="E277:J277" si="203">E198</f>
        <v>946958.79965024826</v>
      </c>
      <c r="F277" s="18">
        <f t="shared" si="203"/>
        <v>993261.59747967555</v>
      </c>
      <c r="G277" s="18">
        <f t="shared" si="203"/>
        <v>1027330.0853634862</v>
      </c>
      <c r="H277" s="18">
        <f t="shared" si="203"/>
        <v>1035970.8338495221</v>
      </c>
      <c r="I277" s="18">
        <f t="shared" si="203"/>
        <v>1046547.5195088809</v>
      </c>
      <c r="J277" s="18">
        <f t="shared" si="203"/>
        <v>1034039.240032119</v>
      </c>
      <c r="L277" s="16" t="s">
        <v>44</v>
      </c>
      <c r="M277" s="17" t="s">
        <v>32</v>
      </c>
      <c r="N277" s="18">
        <f t="shared" ref="N277:S277" si="204">N198</f>
        <v>29188.391526625157</v>
      </c>
      <c r="O277" s="18">
        <f t="shared" si="204"/>
        <v>29322.494369319946</v>
      </c>
      <c r="P277" s="18">
        <f t="shared" si="204"/>
        <v>29844.390361146878</v>
      </c>
      <c r="Q277" s="18">
        <f t="shared" si="204"/>
        <v>29940.535229554491</v>
      </c>
      <c r="R277" s="18">
        <f t="shared" si="204"/>
        <v>29993.205704961725</v>
      </c>
      <c r="S277" s="18">
        <f t="shared" si="204"/>
        <v>29142.303234894556</v>
      </c>
      <c r="T277" s="2"/>
      <c r="U277" s="16" t="s">
        <v>44</v>
      </c>
      <c r="V277" s="17" t="s">
        <v>32</v>
      </c>
      <c r="W277" s="18">
        <f t="shared" si="145"/>
        <v>976147.1911768734</v>
      </c>
      <c r="X277" s="18">
        <f t="shared" si="146"/>
        <v>1022584.0918489955</v>
      </c>
      <c r="Y277" s="18">
        <f t="shared" si="147"/>
        <v>1057174.4757246331</v>
      </c>
      <c r="Z277" s="18">
        <f t="shared" si="148"/>
        <v>1065911.3690790765</v>
      </c>
      <c r="AA277" s="18">
        <f t="shared" si="149"/>
        <v>1076540.7252138427</v>
      </c>
      <c r="AB277" s="18">
        <f t="shared" si="150"/>
        <v>1063181.5432670135</v>
      </c>
      <c r="AC277" s="19"/>
      <c r="AD277" s="16" t="s">
        <v>44</v>
      </c>
      <c r="AE277" s="17" t="s">
        <v>47</v>
      </c>
      <c r="AF277" s="18">
        <v>5402528.3600000003</v>
      </c>
      <c r="AG277" s="18">
        <v>5564089.9100000001</v>
      </c>
      <c r="AH277" s="18">
        <v>5804774.5200000005</v>
      </c>
      <c r="AI277" s="18">
        <v>5952707.6000000006</v>
      </c>
      <c r="AJ277" s="18">
        <v>5923503.5</v>
      </c>
      <c r="AK277" s="18">
        <v>5872656.0999999996</v>
      </c>
      <c r="AL277" s="19"/>
      <c r="AM277" s="16" t="str">
        <f>U277</f>
        <v>Thermal Coal</v>
      </c>
      <c r="AN277" s="16" t="s">
        <v>60</v>
      </c>
      <c r="AO277" s="82">
        <f t="shared" ref="AO277:AT278" si="205">W277/AF277</f>
        <v>0.18068339972154693</v>
      </c>
      <c r="AP277" s="82">
        <f t="shared" si="205"/>
        <v>0.1837828123537629</v>
      </c>
      <c r="AQ277" s="82">
        <f t="shared" si="205"/>
        <v>0.18212154013600393</v>
      </c>
      <c r="AR277" s="82">
        <f t="shared" si="205"/>
        <v>0.17906328358528417</v>
      </c>
      <c r="AS277" s="82">
        <f t="shared" si="205"/>
        <v>0.18174054007292181</v>
      </c>
      <c r="AT277" s="82">
        <f t="shared" si="205"/>
        <v>0.18103929894124288</v>
      </c>
      <c r="AV277" s="16" t="s">
        <v>13</v>
      </c>
      <c r="AW277" s="35" t="s">
        <v>48</v>
      </c>
      <c r="AX277" s="18">
        <v>53.628762030664184</v>
      </c>
      <c r="AY277" s="18">
        <v>109.62126366929023</v>
      </c>
      <c r="AZ277" s="18">
        <v>222.60497645857015</v>
      </c>
      <c r="BA277" s="18">
        <v>121.42059694532965</v>
      </c>
      <c r="BB277" s="18">
        <v>102.10056884057968</v>
      </c>
      <c r="BC277" s="18">
        <v>87.862808250941313</v>
      </c>
      <c r="BE277" s="16" t="s">
        <v>13</v>
      </c>
      <c r="BF277" s="35" t="s">
        <v>49</v>
      </c>
      <c r="BG277" s="35">
        <f t="shared" si="152"/>
        <v>289.73090778235445</v>
      </c>
      <c r="BH277" s="35">
        <f t="shared" si="153"/>
        <v>609.94256710374736</v>
      </c>
      <c r="BI277" s="35">
        <f t="shared" si="154"/>
        <v>1292.1716953719078</v>
      </c>
      <c r="BJ277" s="35">
        <f t="shared" si="155"/>
        <v>722.78131023300068</v>
      </c>
      <c r="BK277" s="35">
        <f t="shared" si="156"/>
        <v>604.79307687916469</v>
      </c>
      <c r="BL277" s="35">
        <f t="shared" si="157"/>
        <v>515.98805683802084</v>
      </c>
      <c r="BN277" s="16" t="s">
        <v>13</v>
      </c>
      <c r="BO277" s="35" t="s">
        <v>50</v>
      </c>
      <c r="BP277" s="35">
        <f t="shared" si="161"/>
        <v>3.3691510465640557</v>
      </c>
      <c r="BQ277" s="35">
        <f t="shared" si="162"/>
        <v>1.6765252123730863</v>
      </c>
      <c r="BR277" s="35">
        <f t="shared" si="163"/>
        <v>0.81813777496523887</v>
      </c>
      <c r="BS277" s="35">
        <f t="shared" si="164"/>
        <v>1.4747356551533712</v>
      </c>
      <c r="BT277" s="35">
        <f t="shared" si="165"/>
        <v>1.7800149610987219</v>
      </c>
      <c r="BU277" s="35">
        <f t="shared" si="166"/>
        <v>2.0604770385233313</v>
      </c>
    </row>
    <row r="278" spans="3:73">
      <c r="C278" s="16" t="s">
        <v>45</v>
      </c>
      <c r="D278" s="17" t="s">
        <v>32</v>
      </c>
      <c r="E278" s="18">
        <f t="shared" ref="E278:J278" si="206">E210</f>
        <v>294102.88561502087</v>
      </c>
      <c r="F278" s="18">
        <f t="shared" si="206"/>
        <v>290677.99812962435</v>
      </c>
      <c r="G278" s="18">
        <f t="shared" si="206"/>
        <v>286008.63308310689</v>
      </c>
      <c r="H278" s="18">
        <f t="shared" si="206"/>
        <v>280029.57228760369</v>
      </c>
      <c r="I278" s="18">
        <f t="shared" si="206"/>
        <v>287137.79846954619</v>
      </c>
      <c r="J278" s="18">
        <f t="shared" si="206"/>
        <v>289351.88753048528</v>
      </c>
      <c r="L278" s="16" t="s">
        <v>45</v>
      </c>
      <c r="M278" s="17" t="s">
        <v>32</v>
      </c>
      <c r="N278" s="18">
        <f t="shared" ref="N278:S278" si="207">N210</f>
        <v>9015.2510068706742</v>
      </c>
      <c r="O278" s="18">
        <f t="shared" si="207"/>
        <v>8656.7160913212847</v>
      </c>
      <c r="P278" s="18">
        <f t="shared" si="207"/>
        <v>8344.5674028713438</v>
      </c>
      <c r="Q278" s="18">
        <f t="shared" si="207"/>
        <v>8027.3763125347195</v>
      </c>
      <c r="R278" s="18">
        <f t="shared" si="207"/>
        <v>7788.0267116799196</v>
      </c>
      <c r="S278" s="18">
        <f t="shared" si="207"/>
        <v>7686.866818721559</v>
      </c>
      <c r="T278" s="2"/>
      <c r="U278" s="16" t="s">
        <v>45</v>
      </c>
      <c r="V278" s="17" t="s">
        <v>32</v>
      </c>
      <c r="W278" s="18">
        <f t="shared" si="145"/>
        <v>303118.13662189152</v>
      </c>
      <c r="X278" s="18">
        <f t="shared" si="146"/>
        <v>299334.71422094561</v>
      </c>
      <c r="Y278" s="18">
        <f t="shared" si="147"/>
        <v>294353.20048597822</v>
      </c>
      <c r="Z278" s="18">
        <f t="shared" si="148"/>
        <v>288056.94860013842</v>
      </c>
      <c r="AA278" s="18">
        <f t="shared" si="149"/>
        <v>294925.82518122613</v>
      </c>
      <c r="AB278" s="18">
        <f t="shared" si="150"/>
        <v>297038.75434920687</v>
      </c>
      <c r="AC278" s="19"/>
      <c r="AD278" s="16" t="s">
        <v>45</v>
      </c>
      <c r="AE278" s="17" t="s">
        <v>47</v>
      </c>
      <c r="AF278" s="18">
        <v>1095037.94</v>
      </c>
      <c r="AG278" s="18">
        <v>1092018.17</v>
      </c>
      <c r="AH278" s="18">
        <v>1072581.8600000001</v>
      </c>
      <c r="AI278" s="18">
        <v>1072748.93</v>
      </c>
      <c r="AJ278" s="18">
        <v>1091661.1399999999</v>
      </c>
      <c r="AK278" s="18">
        <v>1096823.1000000001</v>
      </c>
      <c r="AL278" s="19"/>
      <c r="AM278" s="16" t="str">
        <f t="shared" ref="AM278:AM282" si="208">U278</f>
        <v>Metallurgical Coal</v>
      </c>
      <c r="AN278" s="16" t="s">
        <v>60</v>
      </c>
      <c r="AO278" s="82">
        <f t="shared" si="205"/>
        <v>0.27681062504728515</v>
      </c>
      <c r="AP278" s="82">
        <f t="shared" si="205"/>
        <v>0.27411147766977689</v>
      </c>
      <c r="AQ278" s="82">
        <f t="shared" si="205"/>
        <v>0.2744342520262073</v>
      </c>
      <c r="AR278" s="82">
        <f t="shared" si="205"/>
        <v>0.2685222427582738</v>
      </c>
      <c r="AS278" s="82">
        <f t="shared" si="205"/>
        <v>0.27016242895778642</v>
      </c>
      <c r="AT278" s="82">
        <f t="shared" si="205"/>
        <v>0.27081737642944137</v>
      </c>
      <c r="AV278" s="16" t="s">
        <v>14</v>
      </c>
      <c r="AW278" s="35" t="s">
        <v>48</v>
      </c>
      <c r="AX278" s="18">
        <v>111.73113507394072</v>
      </c>
      <c r="AY278" s="18">
        <v>209.17326782863768</v>
      </c>
      <c r="AZ278" s="18">
        <v>325.1602684658539</v>
      </c>
      <c r="BA278" s="18">
        <v>242.84568998572456</v>
      </c>
      <c r="BB278" s="18">
        <v>207.82624256064639</v>
      </c>
      <c r="BC278" s="18">
        <v>165.50697386160829</v>
      </c>
      <c r="BE278" s="16" t="s">
        <v>14</v>
      </c>
      <c r="BF278" s="35" t="s">
        <v>49</v>
      </c>
      <c r="BG278" s="35">
        <f t="shared" si="152"/>
        <v>122.34983198522978</v>
      </c>
      <c r="BH278" s="35">
        <f t="shared" si="153"/>
        <v>228.42100914714879</v>
      </c>
      <c r="BI278" s="35">
        <f t="shared" si="154"/>
        <v>348.76100554920492</v>
      </c>
      <c r="BJ278" s="35">
        <f t="shared" si="155"/>
        <v>260.51245408729773</v>
      </c>
      <c r="BK278" s="35">
        <f t="shared" si="156"/>
        <v>226.87583287567173</v>
      </c>
      <c r="BL278" s="35">
        <f t="shared" si="157"/>
        <v>181.53187214250818</v>
      </c>
      <c r="BN278" s="16" t="s">
        <v>14</v>
      </c>
      <c r="BO278" s="35" t="s">
        <v>50</v>
      </c>
      <c r="BP278" s="35">
        <f t="shared" si="161"/>
        <v>2.4774708040341591</v>
      </c>
      <c r="BQ278" s="35">
        <f t="shared" si="162"/>
        <v>1.3104517633407102</v>
      </c>
      <c r="BR278" s="35">
        <f t="shared" si="163"/>
        <v>0.8439968798187486</v>
      </c>
      <c r="BS278" s="35">
        <f t="shared" si="164"/>
        <v>1.1057319682060593</v>
      </c>
      <c r="BT278" s="35">
        <f t="shared" si="165"/>
        <v>1.2999437685495832</v>
      </c>
      <c r="BU278" s="35">
        <f t="shared" si="166"/>
        <v>1.6362898197624611</v>
      </c>
    </row>
    <row r="279" spans="3:73">
      <c r="C279" s="16" t="s">
        <v>2</v>
      </c>
      <c r="D279" s="17" t="s">
        <v>32</v>
      </c>
      <c r="E279" s="18">
        <f t="shared" ref="E279:J279" si="209">E222</f>
        <v>530.41674783233429</v>
      </c>
      <c r="F279" s="18">
        <f t="shared" si="209"/>
        <v>723.42744575320853</v>
      </c>
      <c r="G279" s="18">
        <f t="shared" si="209"/>
        <v>893.01168314570714</v>
      </c>
      <c r="H279" s="18">
        <f t="shared" si="209"/>
        <v>1108.9437343599261</v>
      </c>
      <c r="I279" s="18">
        <f t="shared" si="209"/>
        <v>934.37674650704332</v>
      </c>
      <c r="J279" s="18">
        <f t="shared" si="209"/>
        <v>1104.9658654298396</v>
      </c>
      <c r="L279" s="16" t="s">
        <v>2</v>
      </c>
      <c r="M279" s="17" t="s">
        <v>32</v>
      </c>
      <c r="N279" s="18">
        <f t="shared" ref="N279:S279" si="210">N222</f>
        <v>227.37650828277131</v>
      </c>
      <c r="O279" s="18">
        <f t="shared" si="210"/>
        <v>225.42721243219026</v>
      </c>
      <c r="P279" s="18">
        <f t="shared" si="210"/>
        <v>308.85412976476209</v>
      </c>
      <c r="Q279" s="18">
        <f t="shared" si="210"/>
        <v>331.51166232872384</v>
      </c>
      <c r="R279" s="18">
        <f t="shared" si="210"/>
        <v>406.41068806616119</v>
      </c>
      <c r="S279" s="18">
        <f t="shared" si="210"/>
        <v>433.32994120200732</v>
      </c>
      <c r="T279" s="2"/>
      <c r="U279" s="16" t="s">
        <v>2</v>
      </c>
      <c r="V279" s="17" t="s">
        <v>32</v>
      </c>
      <c r="W279" s="18">
        <f t="shared" si="145"/>
        <v>757.79325611510558</v>
      </c>
      <c r="X279" s="18">
        <f t="shared" si="146"/>
        <v>948.85465818539876</v>
      </c>
      <c r="Y279" s="18">
        <f t="shared" si="147"/>
        <v>1201.8658129104692</v>
      </c>
      <c r="Z279" s="18">
        <f t="shared" si="148"/>
        <v>1440.4553966886499</v>
      </c>
      <c r="AA279" s="18">
        <f t="shared" si="149"/>
        <v>1340.7874345732046</v>
      </c>
      <c r="AB279" s="18">
        <f t="shared" si="150"/>
        <v>1538.295806631847</v>
      </c>
      <c r="AC279" s="19"/>
      <c r="AD279" s="16" t="s">
        <v>2</v>
      </c>
      <c r="AE279" s="17" t="s">
        <v>47</v>
      </c>
      <c r="AF279" s="18">
        <v>170.2</v>
      </c>
      <c r="AG279" s="18">
        <v>184.39999999999998</v>
      </c>
      <c r="AH279" s="18">
        <v>223.2</v>
      </c>
      <c r="AI279" s="18">
        <v>254.70000000000002</v>
      </c>
      <c r="AJ279" s="18">
        <v>309.40000000000003</v>
      </c>
      <c r="AK279" s="18">
        <v>333</v>
      </c>
      <c r="AL279" s="19"/>
      <c r="AM279" s="16" t="str">
        <f t="shared" si="208"/>
        <v>Cobalt</v>
      </c>
      <c r="AN279" s="16" t="s">
        <v>60</v>
      </c>
      <c r="AO279" s="82">
        <f>W279/AF279</f>
        <v>4.4523693073742985</v>
      </c>
      <c r="AP279" s="82">
        <f t="shared" ref="AP279:AQ282" si="211">X279/AG279</f>
        <v>5.1456326365802543</v>
      </c>
      <c r="AQ279" s="82">
        <f t="shared" si="211"/>
        <v>5.3847034628605259</v>
      </c>
      <c r="AR279" s="82">
        <f>Z279/AI279</f>
        <v>5.6554982202145654</v>
      </c>
      <c r="AS279" s="82">
        <f t="shared" ref="AS279:AT282" si="212">AA279/AJ279</f>
        <v>4.3335081918978808</v>
      </c>
      <c r="AT279" s="82">
        <f t="shared" si="212"/>
        <v>4.6195069268223632</v>
      </c>
      <c r="AV279" s="16" t="s">
        <v>2</v>
      </c>
      <c r="AW279" s="35" t="s">
        <v>48</v>
      </c>
      <c r="AX279" s="18">
        <v>34680.822104500003</v>
      </c>
      <c r="AY279" s="18">
        <v>34680.822104500003</v>
      </c>
      <c r="AZ279" s="18">
        <v>34680.822104500003</v>
      </c>
      <c r="BA279" s="18">
        <v>34680.822104500003</v>
      </c>
      <c r="BB279" s="18">
        <v>34680.822104500003</v>
      </c>
      <c r="BC279" s="18">
        <v>34680.822104500003</v>
      </c>
      <c r="BE279" s="16" t="s">
        <v>2</v>
      </c>
      <c r="BF279" s="35" t="s">
        <v>49</v>
      </c>
      <c r="BG279" s="35">
        <f t="shared" si="152"/>
        <v>5.9026759221858995</v>
      </c>
      <c r="BH279" s="35">
        <f t="shared" si="153"/>
        <v>6.3951435960697998</v>
      </c>
      <c r="BI279" s="35">
        <f t="shared" si="154"/>
        <v>7.7407594937243998</v>
      </c>
      <c r="BJ279" s="35">
        <f t="shared" si="155"/>
        <v>8.8332053900161522</v>
      </c>
      <c r="BK279" s="35">
        <f t="shared" si="156"/>
        <v>10.730246359132304</v>
      </c>
      <c r="BL279" s="35">
        <f t="shared" si="157"/>
        <v>11.548713760798501</v>
      </c>
      <c r="BN279" s="16" t="s">
        <v>2</v>
      </c>
      <c r="BO279" s="35" t="s">
        <v>50</v>
      </c>
      <c r="BP279" s="35">
        <f t="shared" si="161"/>
        <v>0.12838130808890436</v>
      </c>
      <c r="BQ279" s="35">
        <f t="shared" si="162"/>
        <v>0.14837112629785623</v>
      </c>
      <c r="BR279" s="35">
        <f t="shared" si="163"/>
        <v>0.15526458532716947</v>
      </c>
      <c r="BS279" s="35">
        <f t="shared" si="164"/>
        <v>0.16307278423716309</v>
      </c>
      <c r="BT279" s="35">
        <f t="shared" si="165"/>
        <v>0.12495402152925281</v>
      </c>
      <c r="BU279" s="35">
        <f t="shared" si="166"/>
        <v>0.13320061770458896</v>
      </c>
    </row>
    <row r="280" spans="3:73">
      <c r="C280" s="16" t="s">
        <v>46</v>
      </c>
      <c r="D280" s="17" t="s">
        <v>32</v>
      </c>
      <c r="E280" s="35">
        <f t="shared" ref="E280:J280" si="213">E234</f>
        <v>0.57672984791168491</v>
      </c>
      <c r="F280" s="35">
        <f t="shared" si="213"/>
        <v>0.47286127248352777</v>
      </c>
      <c r="G280" s="35">
        <f t="shared" si="213"/>
        <v>0.63771015230602301</v>
      </c>
      <c r="H280" s="35">
        <f t="shared" si="213"/>
        <v>0.6977276182799429</v>
      </c>
      <c r="I280" s="35">
        <f t="shared" si="213"/>
        <v>0.64644898374824611</v>
      </c>
      <c r="J280" s="35">
        <f t="shared" si="213"/>
        <v>0.62878285262878253</v>
      </c>
      <c r="L280" s="16" t="s">
        <v>46</v>
      </c>
      <c r="M280" s="17" t="s">
        <v>32</v>
      </c>
      <c r="N280" s="35">
        <f t="shared" ref="N280:S280" si="214">N234</f>
        <v>0.76465029875598556</v>
      </c>
      <c r="O280" s="35">
        <f t="shared" si="214"/>
        <v>6.7415827602411951E-2</v>
      </c>
      <c r="P280" s="35">
        <f t="shared" si="214"/>
        <v>7.7372779694862656E-2</v>
      </c>
      <c r="Q280" s="35">
        <f t="shared" si="214"/>
        <v>7.4459307487303117E-2</v>
      </c>
      <c r="R280" s="35">
        <f t="shared" si="214"/>
        <v>6.2861692473943229E-2</v>
      </c>
      <c r="S280" s="35">
        <f t="shared" si="214"/>
        <v>0.66246716494072211</v>
      </c>
      <c r="T280" s="2"/>
      <c r="U280" s="16" t="s">
        <v>46</v>
      </c>
      <c r="V280" s="17" t="s">
        <v>32</v>
      </c>
      <c r="W280" s="35">
        <f t="shared" si="145"/>
        <v>1.3413801466676705</v>
      </c>
      <c r="X280" s="35">
        <f t="shared" si="146"/>
        <v>0.54027710008593977</v>
      </c>
      <c r="Y280" s="35">
        <f t="shared" si="147"/>
        <v>0.71508293200088568</v>
      </c>
      <c r="Z280" s="35">
        <f t="shared" si="148"/>
        <v>0.77218692576724601</v>
      </c>
      <c r="AA280" s="35">
        <f t="shared" si="149"/>
        <v>0.70931067622218935</v>
      </c>
      <c r="AB280" s="35">
        <f t="shared" si="150"/>
        <v>1.2912500175695047</v>
      </c>
      <c r="AC280" s="19"/>
      <c r="AD280" s="16" t="s">
        <v>46</v>
      </c>
      <c r="AE280" s="17" t="s">
        <v>47</v>
      </c>
      <c r="AF280" s="35">
        <v>0.34709999999999996</v>
      </c>
      <c r="AG280" s="35">
        <v>0.40620000000000001</v>
      </c>
      <c r="AH280" s="35">
        <v>0.34860000000000002</v>
      </c>
      <c r="AI280" s="35">
        <v>0.38590000000000002</v>
      </c>
      <c r="AJ280" s="35">
        <v>0.38490000000000002</v>
      </c>
      <c r="AK280" s="35">
        <v>0.3705</v>
      </c>
      <c r="AL280" s="31"/>
      <c r="AM280" s="16" t="str">
        <f t="shared" si="208"/>
        <v>Platinum Group Metals</v>
      </c>
      <c r="AN280" s="16" t="s">
        <v>60</v>
      </c>
      <c r="AO280" s="82">
        <f>W280/AF280</f>
        <v>3.864535138771739</v>
      </c>
      <c r="AP280" s="82">
        <f t="shared" si="211"/>
        <v>1.3300765634808955</v>
      </c>
      <c r="AQ280" s="82">
        <f t="shared" si="211"/>
        <v>2.0512992885854437</v>
      </c>
      <c r="AR280" s="82">
        <f>Z280/AI280</f>
        <v>2.0010026581167297</v>
      </c>
      <c r="AS280" s="82">
        <f t="shared" si="212"/>
        <v>1.8428440535780444</v>
      </c>
      <c r="AT280" s="82">
        <f t="shared" si="212"/>
        <v>3.485155243102577</v>
      </c>
      <c r="AV280" s="16" t="s">
        <v>46</v>
      </c>
      <c r="AW280" s="35" t="s">
        <v>48</v>
      </c>
      <c r="AX280" s="18">
        <v>30589557</v>
      </c>
      <c r="AY280" s="18">
        <v>30589557</v>
      </c>
      <c r="AZ280" s="18">
        <v>30589557</v>
      </c>
      <c r="BA280" s="18">
        <v>30589557</v>
      </c>
      <c r="BB280" s="18">
        <v>30589557</v>
      </c>
      <c r="BC280" s="18">
        <v>30589557</v>
      </c>
      <c r="BE280" s="16" t="s">
        <v>46</v>
      </c>
      <c r="BF280" s="35" t="s">
        <v>49</v>
      </c>
      <c r="BG280" s="35">
        <f t="shared" si="152"/>
        <v>10.617635234699998</v>
      </c>
      <c r="BH280" s="35">
        <f t="shared" si="153"/>
        <v>12.425478053400001</v>
      </c>
      <c r="BI280" s="35">
        <f t="shared" si="154"/>
        <v>10.6635195702</v>
      </c>
      <c r="BJ280" s="35">
        <f t="shared" si="155"/>
        <v>11.804510046300001</v>
      </c>
      <c r="BK280" s="35">
        <f t="shared" si="156"/>
        <v>11.773920489300002</v>
      </c>
      <c r="BL280" s="35">
        <f t="shared" si="157"/>
        <v>11.333430868500001</v>
      </c>
      <c r="BN280" s="16" t="s">
        <v>46</v>
      </c>
      <c r="BO280" s="35" t="s">
        <v>50</v>
      </c>
      <c r="BP280" s="35">
        <f t="shared" si="161"/>
        <v>1.2633511295282045E-4</v>
      </c>
      <c r="BQ280" s="35">
        <f t="shared" si="162"/>
        <v>4.3481393453357154E-5</v>
      </c>
      <c r="BR280" s="35">
        <f t="shared" si="163"/>
        <v>6.7058809926062138E-5</v>
      </c>
      <c r="BS280" s="35">
        <f t="shared" si="164"/>
        <v>6.5414568053951528E-5</v>
      </c>
      <c r="BT280" s="35">
        <f t="shared" si="165"/>
        <v>6.0244221698864231E-5</v>
      </c>
      <c r="BU280" s="35">
        <f t="shared" si="166"/>
        <v>1.1393284456857537E-4</v>
      </c>
    </row>
    <row r="281" spans="3:73">
      <c r="C281" s="16" t="s">
        <v>8</v>
      </c>
      <c r="D281" s="17" t="s">
        <v>32</v>
      </c>
      <c r="E281" s="18">
        <f t="shared" ref="E281:J281" si="215">E246</f>
        <v>8408.874603595028</v>
      </c>
      <c r="F281" s="18">
        <f t="shared" si="215"/>
        <v>8539.9863419063058</v>
      </c>
      <c r="G281" s="18">
        <f t="shared" si="215"/>
        <v>8420.8619950889624</v>
      </c>
      <c r="H281" s="18">
        <f t="shared" si="215"/>
        <v>2650.9401548249471</v>
      </c>
      <c r="I281" s="18">
        <f t="shared" si="215"/>
        <v>2336.1495070961369</v>
      </c>
      <c r="J281" s="18">
        <f t="shared" si="215"/>
        <v>2169.1954205425291</v>
      </c>
      <c r="L281" s="16" t="s">
        <v>8</v>
      </c>
      <c r="M281" s="17" t="s">
        <v>32</v>
      </c>
      <c r="N281" s="18">
        <f t="shared" ref="N281:S281" si="216">N246</f>
        <v>2145.4879579151229</v>
      </c>
      <c r="O281" s="18">
        <f t="shared" si="216"/>
        <v>2135.7855177305819</v>
      </c>
      <c r="P281" s="18">
        <f t="shared" si="216"/>
        <v>2059.6864241055096</v>
      </c>
      <c r="Q281" s="18">
        <f t="shared" si="216"/>
        <v>2068.9815062819043</v>
      </c>
      <c r="R281" s="18">
        <f t="shared" si="216"/>
        <v>2057.962857878254</v>
      </c>
      <c r="S281" s="18">
        <f t="shared" si="216"/>
        <v>2401.9818737885448</v>
      </c>
      <c r="T281" s="2"/>
      <c r="U281" s="16" t="s">
        <v>8</v>
      </c>
      <c r="V281" s="17" t="s">
        <v>32</v>
      </c>
      <c r="W281" s="18">
        <f t="shared" si="145"/>
        <v>10554.362561510152</v>
      </c>
      <c r="X281" s="18">
        <f t="shared" si="146"/>
        <v>10675.771859636887</v>
      </c>
      <c r="Y281" s="18">
        <f t="shared" si="147"/>
        <v>10480.548419194472</v>
      </c>
      <c r="Z281" s="18">
        <f t="shared" si="148"/>
        <v>4719.9216611068514</v>
      </c>
      <c r="AA281" s="18">
        <f t="shared" si="149"/>
        <v>4394.1123649743913</v>
      </c>
      <c r="AB281" s="18">
        <f t="shared" si="150"/>
        <v>4571.1772943310734</v>
      </c>
      <c r="AC281" s="19"/>
      <c r="AD281" s="16" t="s">
        <v>8</v>
      </c>
      <c r="AE281" s="17" t="s">
        <v>47</v>
      </c>
      <c r="AF281" s="18">
        <v>30.292999999999999</v>
      </c>
      <c r="AG281" s="18">
        <v>31.841999999999999</v>
      </c>
      <c r="AH281" s="18">
        <v>32.173999999999999</v>
      </c>
      <c r="AI281" s="18">
        <v>31.042999999999996</v>
      </c>
      <c r="AJ281" s="18">
        <v>31.577999999999999</v>
      </c>
      <c r="AK281" s="18">
        <v>32.064</v>
      </c>
      <c r="AL281" s="19"/>
      <c r="AM281" s="16" t="str">
        <f t="shared" si="208"/>
        <v>Silver</v>
      </c>
      <c r="AN281" s="16" t="s">
        <v>60</v>
      </c>
      <c r="AO281" s="82">
        <f>W281/AF281</f>
        <v>348.40928800416441</v>
      </c>
      <c r="AP281" s="82">
        <f t="shared" si="211"/>
        <v>335.27328244572851</v>
      </c>
      <c r="AQ281" s="82">
        <f t="shared" si="211"/>
        <v>325.74589479686927</v>
      </c>
      <c r="AR281" s="82">
        <f>Z281/AI281</f>
        <v>152.04463682977973</v>
      </c>
      <c r="AS281" s="82">
        <f t="shared" si="212"/>
        <v>139.15106608950509</v>
      </c>
      <c r="AT281" s="82">
        <f t="shared" si="212"/>
        <v>142.56416212359883</v>
      </c>
      <c r="AV281" s="16" t="s">
        <v>8</v>
      </c>
      <c r="AW281" s="35" t="s">
        <v>48</v>
      </c>
      <c r="AX281" s="18">
        <v>739467</v>
      </c>
      <c r="AY281" s="18">
        <v>739467</v>
      </c>
      <c r="AZ281" s="18">
        <v>739467</v>
      </c>
      <c r="BA281" s="18">
        <v>739467</v>
      </c>
      <c r="BB281" s="18">
        <v>739467</v>
      </c>
      <c r="BC281" s="18">
        <v>739467</v>
      </c>
      <c r="BE281" s="16" t="s">
        <v>8</v>
      </c>
      <c r="BF281" s="35" t="s">
        <v>49</v>
      </c>
      <c r="BG281" s="35">
        <f t="shared" si="152"/>
        <v>22.400673830999999</v>
      </c>
      <c r="BH281" s="35">
        <f t="shared" si="153"/>
        <v>23.546108213999997</v>
      </c>
      <c r="BI281" s="35">
        <f t="shared" si="154"/>
        <v>23.791611258</v>
      </c>
      <c r="BJ281" s="35">
        <f t="shared" si="155"/>
        <v>22.955274080999995</v>
      </c>
      <c r="BK281" s="35">
        <f t="shared" si="156"/>
        <v>23.350888926</v>
      </c>
      <c r="BL281" s="35">
        <f t="shared" si="157"/>
        <v>23.710269887999999</v>
      </c>
      <c r="BN281" s="16" t="s">
        <v>8</v>
      </c>
      <c r="BO281" s="35" t="s">
        <v>50</v>
      </c>
      <c r="BP281" s="35">
        <f t="shared" si="161"/>
        <v>0.47116272667227121</v>
      </c>
      <c r="BQ281" s="35">
        <f t="shared" si="162"/>
        <v>0.45339857281762208</v>
      </c>
      <c r="BR281" s="35">
        <f t="shared" si="163"/>
        <v>0.44051444458896649</v>
      </c>
      <c r="BS281" s="35">
        <f t="shared" si="164"/>
        <v>0.20561382296948982</v>
      </c>
      <c r="BT281" s="35">
        <f t="shared" si="165"/>
        <v>0.18817751987513312</v>
      </c>
      <c r="BU281" s="35">
        <f t="shared" si="166"/>
        <v>0.19279313630439068</v>
      </c>
    </row>
    <row r="282" spans="3:73">
      <c r="C282" s="16" t="s">
        <v>6</v>
      </c>
      <c r="D282" s="17" t="s">
        <v>32</v>
      </c>
      <c r="E282" s="18">
        <f t="shared" ref="E282:J282" si="217">E258</f>
        <v>315.10186033422843</v>
      </c>
      <c r="F282" s="18">
        <f t="shared" si="217"/>
        <v>271.58476553483638</v>
      </c>
      <c r="G282" s="18">
        <f t="shared" si="217"/>
        <v>316.07745965419116</v>
      </c>
      <c r="H282" s="18">
        <f t="shared" si="217"/>
        <v>338.51039992554303</v>
      </c>
      <c r="I282" s="18">
        <f t="shared" si="217"/>
        <v>321.53554999161838</v>
      </c>
      <c r="J282" s="18">
        <f t="shared" si="217"/>
        <v>437.24866562786855</v>
      </c>
      <c r="L282" s="16" t="s">
        <v>6</v>
      </c>
      <c r="M282" s="17" t="s">
        <v>32</v>
      </c>
      <c r="N282" s="18">
        <f t="shared" ref="N282:S282" si="218">N258</f>
        <v>729.48655650374349</v>
      </c>
      <c r="O282" s="18">
        <f t="shared" si="218"/>
        <v>645.54011796461759</v>
      </c>
      <c r="P282" s="18">
        <f t="shared" si="218"/>
        <v>620.97914522743611</v>
      </c>
      <c r="Q282" s="18">
        <f t="shared" si="218"/>
        <v>529.76891432416573</v>
      </c>
      <c r="R282" s="18">
        <f t="shared" si="218"/>
        <v>495.45370676579029</v>
      </c>
      <c r="S282" s="18">
        <f t="shared" si="218"/>
        <v>506.8759372908824</v>
      </c>
      <c r="T282" s="2"/>
      <c r="U282" s="16" t="s">
        <v>6</v>
      </c>
      <c r="V282" s="17" t="s">
        <v>32</v>
      </c>
      <c r="W282" s="18">
        <f t="shared" si="145"/>
        <v>1044.5884168379719</v>
      </c>
      <c r="X282" s="18">
        <f t="shared" si="146"/>
        <v>917.12488349945397</v>
      </c>
      <c r="Y282" s="18">
        <f t="shared" si="147"/>
        <v>937.05660488162721</v>
      </c>
      <c r="Z282" s="18">
        <f t="shared" si="148"/>
        <v>868.2793142497087</v>
      </c>
      <c r="AA282" s="18">
        <f t="shared" si="149"/>
        <v>816.98925675740861</v>
      </c>
      <c r="AB282" s="18">
        <f t="shared" si="150"/>
        <v>944.12460291875095</v>
      </c>
      <c r="AC282" s="19"/>
      <c r="AD282" s="16" t="s">
        <v>6</v>
      </c>
      <c r="AE282" s="17" t="s">
        <v>47</v>
      </c>
      <c r="AF282" s="18">
        <v>271.06762361372341</v>
      </c>
      <c r="AG282" s="18">
        <v>260.02504490881381</v>
      </c>
      <c r="AH282" s="18">
        <v>264.39403676810389</v>
      </c>
      <c r="AI282" s="18">
        <v>270.90015634151928</v>
      </c>
      <c r="AJ282" s="18">
        <v>279.84127779897602</v>
      </c>
      <c r="AK282" s="18">
        <v>291.75478591533607</v>
      </c>
      <c r="AL282" s="19"/>
      <c r="AM282" s="16" t="str">
        <f t="shared" si="208"/>
        <v>Molybdenum</v>
      </c>
      <c r="AN282" s="16" t="s">
        <v>60</v>
      </c>
      <c r="AO282" s="82">
        <f>W282/AF282</f>
        <v>3.8536081989877569</v>
      </c>
      <c r="AP282" s="82">
        <f t="shared" si="211"/>
        <v>3.527063648123101</v>
      </c>
      <c r="AQ282" s="82">
        <f t="shared" si="211"/>
        <v>3.5441669424016009</v>
      </c>
      <c r="AR282" s="82">
        <f>Z282/AI282</f>
        <v>3.2051635775177756</v>
      </c>
      <c r="AS282" s="82">
        <f t="shared" si="212"/>
        <v>2.9194737216154825</v>
      </c>
      <c r="AT282" s="82">
        <f t="shared" si="212"/>
        <v>3.236020961770016</v>
      </c>
      <c r="AV282" s="16" t="s">
        <v>6</v>
      </c>
      <c r="AW282" s="35" t="s">
        <v>48</v>
      </c>
      <c r="AX282" s="18">
        <v>53778.8</v>
      </c>
      <c r="AY282" s="18">
        <v>53778.8</v>
      </c>
      <c r="AZ282" s="18">
        <v>53778.8</v>
      </c>
      <c r="BA282" s="18">
        <v>53778.8</v>
      </c>
      <c r="BB282" s="18">
        <v>53778.8</v>
      </c>
      <c r="BC282" s="18">
        <v>53778.8</v>
      </c>
      <c r="BE282" s="16" t="s">
        <v>6</v>
      </c>
      <c r="BF282" s="35" t="s">
        <v>49</v>
      </c>
      <c r="BG282" s="35">
        <f t="shared" si="152"/>
        <v>14.57769151679771</v>
      </c>
      <c r="BH282" s="35">
        <f t="shared" si="153"/>
        <v>13.983834885142118</v>
      </c>
      <c r="BI282" s="35">
        <f t="shared" si="154"/>
        <v>14.218794024544506</v>
      </c>
      <c r="BJ282" s="35">
        <f t="shared" si="155"/>
        <v>14.568685327859297</v>
      </c>
      <c r="BK282" s="35">
        <f t="shared" si="156"/>
        <v>15.049528110495572</v>
      </c>
      <c r="BL282" s="35">
        <f t="shared" si="157"/>
        <v>15.690222280783676</v>
      </c>
      <c r="BN282" s="16" t="s">
        <v>6</v>
      </c>
      <c r="BO282" s="35" t="s">
        <v>50</v>
      </c>
      <c r="BP282" s="35">
        <f t="shared" si="161"/>
        <v>7.1656641631790891E-2</v>
      </c>
      <c r="BQ282" s="35">
        <f t="shared" si="162"/>
        <v>6.5584647632953894E-2</v>
      </c>
      <c r="BR282" s="35">
        <f t="shared" si="163"/>
        <v>6.5902678051603991E-2</v>
      </c>
      <c r="BS282" s="35">
        <f t="shared" si="164"/>
        <v>5.9599016294855513E-2</v>
      </c>
      <c r="BT282" s="35">
        <f t="shared" si="165"/>
        <v>5.4286702596850103E-2</v>
      </c>
      <c r="BU282" s="35">
        <f t="shared" si="166"/>
        <v>6.0172799723497289E-2</v>
      </c>
    </row>
    <row r="283" spans="3:73">
      <c r="T283" s="2"/>
    </row>
    <row r="284" spans="3:73">
      <c r="C284" s="9" t="str">
        <f>C2</f>
        <v>Total Global Scope 1 Emissions</v>
      </c>
      <c r="D284" s="9"/>
      <c r="E284" s="9"/>
      <c r="F284" s="9"/>
      <c r="G284" s="9"/>
      <c r="H284" s="9"/>
      <c r="I284" s="9"/>
      <c r="J284" s="9"/>
      <c r="L284" s="9" t="str">
        <f>L2</f>
        <v>Total Global Scope 2 Emissions</v>
      </c>
      <c r="M284" s="9"/>
      <c r="N284" s="9"/>
      <c r="O284" s="9"/>
      <c r="P284" s="9"/>
      <c r="Q284" s="9"/>
      <c r="R284" s="9"/>
      <c r="S284" s="9"/>
      <c r="T284" s="2"/>
      <c r="U284" s="9" t="s">
        <v>52</v>
      </c>
      <c r="V284" s="9"/>
      <c r="W284" s="9"/>
      <c r="X284" s="9"/>
      <c r="Y284" s="9"/>
      <c r="Z284" s="9"/>
      <c r="AA284" s="9"/>
      <c r="AB284" s="9"/>
      <c r="AC284" s="8"/>
      <c r="AM284" s="10"/>
      <c r="AN284" s="10"/>
      <c r="AO284" s="10"/>
      <c r="AP284" s="10"/>
      <c r="AQ284" s="10"/>
      <c r="AR284" s="10"/>
      <c r="AS284" s="10"/>
      <c r="AV284" s="20" t="s">
        <v>53</v>
      </c>
      <c r="AW284" s="10"/>
      <c r="AX284" s="10"/>
      <c r="AY284" s="10"/>
      <c r="AZ284" s="10"/>
      <c r="BA284" s="10"/>
    </row>
    <row r="285" spans="3:73">
      <c r="C285" s="60" t="s">
        <v>57</v>
      </c>
      <c r="D285" s="60" t="s">
        <v>11</v>
      </c>
      <c r="E285" s="61">
        <v>2020</v>
      </c>
      <c r="F285" s="61">
        <v>2021</v>
      </c>
      <c r="G285" s="61">
        <v>2022</v>
      </c>
      <c r="H285" s="61">
        <v>2023</v>
      </c>
      <c r="I285" s="61">
        <v>2024</v>
      </c>
      <c r="J285" s="61">
        <v>2025</v>
      </c>
      <c r="L285" s="60" t="s">
        <v>59</v>
      </c>
      <c r="M285" s="60" t="s">
        <v>11</v>
      </c>
      <c r="N285" s="61">
        <v>2020</v>
      </c>
      <c r="O285" s="61">
        <v>2021</v>
      </c>
      <c r="P285" s="61">
        <v>2022</v>
      </c>
      <c r="Q285" s="61">
        <v>2023</v>
      </c>
      <c r="R285" s="61">
        <v>2024</v>
      </c>
      <c r="S285" s="61">
        <v>2025</v>
      </c>
      <c r="U285" s="60" t="s">
        <v>59</v>
      </c>
      <c r="V285" s="60" t="s">
        <v>11</v>
      </c>
      <c r="W285" s="61">
        <v>2020</v>
      </c>
      <c r="X285" s="61">
        <v>2021</v>
      </c>
      <c r="Y285" s="61">
        <v>2022</v>
      </c>
      <c r="Z285" s="61">
        <v>2023</v>
      </c>
      <c r="AA285" s="61">
        <v>2024</v>
      </c>
      <c r="AB285" s="61">
        <v>2025</v>
      </c>
      <c r="AC285" s="12"/>
      <c r="AM285" s="13"/>
      <c r="AN285" s="13"/>
      <c r="AO285" s="13"/>
      <c r="AP285" s="13"/>
      <c r="AQ285" s="13"/>
      <c r="AR285" s="13"/>
      <c r="AS285" s="13"/>
      <c r="AV285" s="20"/>
      <c r="AW285" s="13"/>
      <c r="AX285" s="13"/>
      <c r="AY285" s="13"/>
      <c r="AZ285" s="13"/>
      <c r="BA285" s="13"/>
    </row>
    <row r="286" spans="3:73">
      <c r="C286" s="16" t="s">
        <v>31</v>
      </c>
      <c r="D286" s="17" t="str">
        <f>D265</f>
        <v>kt CO2e</v>
      </c>
      <c r="E286" s="18">
        <f t="shared" ref="E286:J293" si="219">SUMIFS(E$7:E$258,$C$7:$C$258,$C286)</f>
        <v>174958.84033074504</v>
      </c>
      <c r="F286" s="18">
        <f t="shared" si="219"/>
        <v>195778.32513413922</v>
      </c>
      <c r="G286" s="18">
        <f t="shared" si="219"/>
        <v>192999.43718294773</v>
      </c>
      <c r="H286" s="18">
        <f t="shared" si="219"/>
        <v>191049.5136305675</v>
      </c>
      <c r="I286" s="18">
        <f t="shared" si="219"/>
        <v>178204.05079550383</v>
      </c>
      <c r="J286" s="18">
        <f t="shared" si="219"/>
        <v>186215.98738081113</v>
      </c>
      <c r="L286" s="16" t="s">
        <v>31</v>
      </c>
      <c r="M286" s="17" t="str">
        <f>M265</f>
        <v>kt CO2e</v>
      </c>
      <c r="N286" s="18">
        <f>SUMIFS(N$7:N$258,$L$7:$L$258,$C286)</f>
        <v>29799.80953877874</v>
      </c>
      <c r="O286" s="18">
        <f t="shared" ref="O286:S293" si="220">SUMIFS(O$7:O$258,$C$7:$C$258,$C286)</f>
        <v>33604.373401974342</v>
      </c>
      <c r="P286" s="18">
        <f t="shared" si="220"/>
        <v>29698.326029587988</v>
      </c>
      <c r="Q286" s="18">
        <f t="shared" si="220"/>
        <v>28659.811924650716</v>
      </c>
      <c r="R286" s="18">
        <f t="shared" si="220"/>
        <v>26874.548048610948</v>
      </c>
      <c r="S286" s="18">
        <f t="shared" si="220"/>
        <v>27007.172518755644</v>
      </c>
      <c r="U286" s="16" t="s">
        <v>31</v>
      </c>
      <c r="V286" s="17" t="s">
        <v>32</v>
      </c>
      <c r="W286" s="18">
        <f>E286+N286</f>
        <v>204758.64986952377</v>
      </c>
      <c r="X286" s="18">
        <f t="shared" ref="X286:AB293" si="221">F286+O286</f>
        <v>229382.69853611354</v>
      </c>
      <c r="Y286" s="18">
        <f t="shared" si="221"/>
        <v>222697.7632125357</v>
      </c>
      <c r="Z286" s="18">
        <f t="shared" si="221"/>
        <v>219709.32555521821</v>
      </c>
      <c r="AA286" s="18">
        <f t="shared" si="221"/>
        <v>205078.59884411478</v>
      </c>
      <c r="AB286" s="18">
        <f t="shared" si="221"/>
        <v>213223.15989956679</v>
      </c>
      <c r="AC286" s="19"/>
      <c r="AM286" s="21"/>
      <c r="AN286" s="21"/>
      <c r="AO286" s="21"/>
      <c r="AP286" s="21"/>
      <c r="AQ286" s="21"/>
      <c r="AR286" s="21"/>
      <c r="AS286" s="21"/>
      <c r="AV286" s="21"/>
      <c r="AW286" s="21"/>
      <c r="AX286" s="21"/>
      <c r="AY286" s="21"/>
      <c r="AZ286" s="21"/>
      <c r="BA286" s="21"/>
    </row>
    <row r="287" spans="3:73">
      <c r="C287" s="16" t="s">
        <v>33</v>
      </c>
      <c r="D287" s="17" t="s">
        <v>32</v>
      </c>
      <c r="E287" s="18">
        <f t="shared" si="219"/>
        <v>210650.90682172726</v>
      </c>
      <c r="F287" s="18">
        <f t="shared" si="219"/>
        <v>222486.67332060329</v>
      </c>
      <c r="G287" s="18">
        <f t="shared" si="219"/>
        <v>209128.89956364426</v>
      </c>
      <c r="H287" s="18">
        <f t="shared" si="219"/>
        <v>220976.03070344182</v>
      </c>
      <c r="I287" s="18">
        <f t="shared" si="219"/>
        <v>212149.62017931664</v>
      </c>
      <c r="J287" s="18">
        <f t="shared" si="219"/>
        <v>214459.33201983123</v>
      </c>
      <c r="L287" s="16" t="s">
        <v>33</v>
      </c>
      <c r="M287" s="17" t="s">
        <v>32</v>
      </c>
      <c r="N287" s="18">
        <f t="shared" ref="N287:N293" si="222">SUMIFS(N$7:N$258,$C$7:$C$258,$C287)</f>
        <v>35167.055928712893</v>
      </c>
      <c r="O287" s="18">
        <f t="shared" si="220"/>
        <v>35927.047017559831</v>
      </c>
      <c r="P287" s="18">
        <f t="shared" si="220"/>
        <v>36009.327520474595</v>
      </c>
      <c r="Q287" s="18">
        <f t="shared" si="220"/>
        <v>36195.587699616815</v>
      </c>
      <c r="R287" s="18">
        <f t="shared" si="220"/>
        <v>36209.929375412255</v>
      </c>
      <c r="S287" s="18">
        <f t="shared" si="220"/>
        <v>37102.382937440641</v>
      </c>
      <c r="U287" s="16" t="s">
        <v>33</v>
      </c>
      <c r="V287" s="17" t="s">
        <v>32</v>
      </c>
      <c r="W287" s="18">
        <f t="shared" ref="W287:W293" si="223">E287+N287</f>
        <v>245817.96275044014</v>
      </c>
      <c r="X287" s="18">
        <f t="shared" si="221"/>
        <v>258413.72033816314</v>
      </c>
      <c r="Y287" s="18">
        <f t="shared" si="221"/>
        <v>245138.22708411884</v>
      </c>
      <c r="Z287" s="18">
        <f t="shared" si="221"/>
        <v>257171.61840305864</v>
      </c>
      <c r="AA287" s="18">
        <f t="shared" si="221"/>
        <v>248359.5495547289</v>
      </c>
      <c r="AB287" s="18">
        <f t="shared" si="221"/>
        <v>251561.71495727188</v>
      </c>
      <c r="AC287" s="19"/>
      <c r="AM287" s="46"/>
      <c r="AN287" s="46"/>
      <c r="AO287" s="46"/>
      <c r="AP287" s="46"/>
      <c r="AQ287" s="46"/>
      <c r="AR287" s="46"/>
      <c r="AS287" s="46"/>
      <c r="AV287" s="46"/>
      <c r="AW287" s="46"/>
      <c r="AX287" s="46"/>
      <c r="AY287" s="46"/>
      <c r="AZ287" s="46"/>
      <c r="BA287" s="46"/>
    </row>
    <row r="288" spans="3:73">
      <c r="C288" s="16" t="s">
        <v>34</v>
      </c>
      <c r="D288" s="17" t="s">
        <v>32</v>
      </c>
      <c r="E288" s="18">
        <f t="shared" si="219"/>
        <v>122069.97592186012</v>
      </c>
      <c r="F288" s="18">
        <f t="shared" si="219"/>
        <v>137441.67291800151</v>
      </c>
      <c r="G288" s="18">
        <f t="shared" si="219"/>
        <v>134915.0649986986</v>
      </c>
      <c r="H288" s="18">
        <f t="shared" si="219"/>
        <v>122575.38536266166</v>
      </c>
      <c r="I288" s="18">
        <f t="shared" si="219"/>
        <v>121335.90000163745</v>
      </c>
      <c r="J288" s="18">
        <f t="shared" si="219"/>
        <v>125735.47512713735</v>
      </c>
      <c r="L288" s="16" t="s">
        <v>34</v>
      </c>
      <c r="M288" s="17" t="s">
        <v>32</v>
      </c>
      <c r="N288" s="18">
        <f t="shared" si="222"/>
        <v>17550.631016393752</v>
      </c>
      <c r="O288" s="18">
        <f t="shared" si="220"/>
        <v>19088.228768003162</v>
      </c>
      <c r="P288" s="18">
        <f t="shared" si="220"/>
        <v>16236.625295931977</v>
      </c>
      <c r="Q288" s="18">
        <f t="shared" si="220"/>
        <v>13883.430543004757</v>
      </c>
      <c r="R288" s="18">
        <f t="shared" si="220"/>
        <v>11713.429965125977</v>
      </c>
      <c r="S288" s="18">
        <f t="shared" si="220"/>
        <v>10616.703679837456</v>
      </c>
      <c r="U288" s="16" t="s">
        <v>34</v>
      </c>
      <c r="V288" s="17" t="s">
        <v>32</v>
      </c>
      <c r="W288" s="18">
        <f t="shared" si="223"/>
        <v>139620.60693825388</v>
      </c>
      <c r="X288" s="18">
        <f t="shared" si="221"/>
        <v>156529.90168600468</v>
      </c>
      <c r="Y288" s="18">
        <f t="shared" si="221"/>
        <v>151151.69029463056</v>
      </c>
      <c r="Z288" s="18">
        <f t="shared" si="221"/>
        <v>136458.81590566642</v>
      </c>
      <c r="AA288" s="18">
        <f t="shared" si="221"/>
        <v>133049.32996676341</v>
      </c>
      <c r="AB288" s="18">
        <f t="shared" si="221"/>
        <v>136352.17880697481</v>
      </c>
      <c r="AC288" s="19"/>
      <c r="AM288" s="46"/>
      <c r="AN288" s="46"/>
      <c r="AO288" s="46"/>
      <c r="AP288" s="46"/>
      <c r="AQ288" s="46"/>
      <c r="AR288" s="46"/>
      <c r="AS288" s="46"/>
      <c r="AV288" s="46"/>
      <c r="AW288" s="46"/>
      <c r="AX288" s="46"/>
      <c r="AY288" s="46"/>
      <c r="AZ288" s="46"/>
      <c r="BA288" s="46"/>
    </row>
    <row r="289" spans="3:53">
      <c r="C289" s="16" t="s">
        <v>35</v>
      </c>
      <c r="D289" s="17" t="s">
        <v>32</v>
      </c>
      <c r="E289" s="18">
        <f t="shared" si="219"/>
        <v>4296170.4877482811</v>
      </c>
      <c r="F289" s="18">
        <f t="shared" si="219"/>
        <v>4357020.4253680529</v>
      </c>
      <c r="G289" s="18">
        <f t="shared" si="219"/>
        <v>4419638.2116092062</v>
      </c>
      <c r="H289" s="18">
        <f t="shared" si="219"/>
        <v>4496355.6161027802</v>
      </c>
      <c r="I289" s="18">
        <f t="shared" si="219"/>
        <v>4522625.1815930847</v>
      </c>
      <c r="J289" s="18">
        <f t="shared" si="219"/>
        <v>4461517.2371700285</v>
      </c>
      <c r="L289" s="16" t="s">
        <v>35</v>
      </c>
      <c r="M289" s="17" t="s">
        <v>32</v>
      </c>
      <c r="N289" s="18">
        <f t="shared" si="222"/>
        <v>206456.59855588365</v>
      </c>
      <c r="O289" s="18">
        <f t="shared" si="220"/>
        <v>199418.40535123282</v>
      </c>
      <c r="P289" s="18">
        <f t="shared" si="220"/>
        <v>202731.99572545529</v>
      </c>
      <c r="Q289" s="18">
        <f t="shared" si="220"/>
        <v>215817.61800227195</v>
      </c>
      <c r="R289" s="18">
        <f t="shared" si="220"/>
        <v>219234.58774677754</v>
      </c>
      <c r="S289" s="18">
        <f t="shared" si="220"/>
        <v>216027.11808119767</v>
      </c>
      <c r="U289" s="16" t="s">
        <v>35</v>
      </c>
      <c r="V289" s="17" t="s">
        <v>32</v>
      </c>
      <c r="W289" s="18">
        <f t="shared" si="223"/>
        <v>4502627.0863041645</v>
      </c>
      <c r="X289" s="18">
        <f t="shared" si="221"/>
        <v>4556438.8307192856</v>
      </c>
      <c r="Y289" s="18">
        <f t="shared" si="221"/>
        <v>4622370.2073346619</v>
      </c>
      <c r="Z289" s="18">
        <f t="shared" si="221"/>
        <v>4712173.2341050524</v>
      </c>
      <c r="AA289" s="18">
        <f t="shared" si="221"/>
        <v>4741859.7693398623</v>
      </c>
      <c r="AB289" s="18">
        <f t="shared" si="221"/>
        <v>4677544.3552512266</v>
      </c>
      <c r="AC289" s="19"/>
      <c r="AD289" s="34"/>
      <c r="AM289" s="46"/>
      <c r="AN289" s="46"/>
      <c r="AO289" s="46"/>
      <c r="AP289" s="46"/>
      <c r="AQ289" s="46"/>
      <c r="AR289" s="46"/>
      <c r="AS289" s="46"/>
      <c r="AV289" s="46"/>
      <c r="AW289" s="46"/>
      <c r="AX289" s="46"/>
      <c r="AY289" s="46"/>
      <c r="AZ289" s="46"/>
      <c r="BA289" s="46"/>
    </row>
    <row r="290" spans="3:53">
      <c r="C290" s="16" t="s">
        <v>36</v>
      </c>
      <c r="D290" s="17" t="str">
        <f>D269</f>
        <v>kt CO2e</v>
      </c>
      <c r="E290" s="18">
        <f t="shared" si="219"/>
        <v>29881.7666561757</v>
      </c>
      <c r="F290" s="18">
        <f t="shared" si="219"/>
        <v>32792.718021065077</v>
      </c>
      <c r="G290" s="18">
        <f t="shared" si="219"/>
        <v>32947.266155323283</v>
      </c>
      <c r="H290" s="18">
        <f t="shared" si="219"/>
        <v>34465.484851138637</v>
      </c>
      <c r="I290" s="18">
        <f t="shared" si="219"/>
        <v>36430.569689822674</v>
      </c>
      <c r="J290" s="18">
        <f t="shared" si="219"/>
        <v>36148.384987826437</v>
      </c>
      <c r="L290" s="16" t="s">
        <v>36</v>
      </c>
      <c r="M290" s="17" t="str">
        <f>M269</f>
        <v>kt CO2e</v>
      </c>
      <c r="N290" s="18">
        <f t="shared" si="222"/>
        <v>29645.252480223735</v>
      </c>
      <c r="O290" s="18">
        <f t="shared" si="220"/>
        <v>29956.469327841151</v>
      </c>
      <c r="P290" s="18">
        <f t="shared" si="220"/>
        <v>29950.825715056304</v>
      </c>
      <c r="Q290" s="18">
        <f t="shared" si="220"/>
        <v>29522.48538790979</v>
      </c>
      <c r="R290" s="18">
        <f t="shared" si="220"/>
        <v>29872.986105489366</v>
      </c>
      <c r="S290" s="18">
        <f t="shared" si="220"/>
        <v>30428.905481390106</v>
      </c>
      <c r="U290" s="16" t="s">
        <v>36</v>
      </c>
      <c r="V290" s="17" t="s">
        <v>32</v>
      </c>
      <c r="W290" s="18">
        <f t="shared" si="223"/>
        <v>59527.019136399438</v>
      </c>
      <c r="X290" s="18">
        <f t="shared" si="221"/>
        <v>62749.187348906227</v>
      </c>
      <c r="Y290" s="18">
        <f t="shared" si="221"/>
        <v>62898.091870379591</v>
      </c>
      <c r="Z290" s="18">
        <f t="shared" si="221"/>
        <v>63987.970239048431</v>
      </c>
      <c r="AA290" s="18">
        <f t="shared" si="221"/>
        <v>66303.555795312044</v>
      </c>
      <c r="AB290" s="18">
        <f t="shared" si="221"/>
        <v>66577.290469216547</v>
      </c>
      <c r="AC290" s="19"/>
      <c r="AM290" s="46"/>
      <c r="AN290" s="46"/>
      <c r="AO290" s="46"/>
      <c r="AP290" s="46"/>
      <c r="AQ290" s="46"/>
      <c r="AR290" s="46"/>
      <c r="AS290" s="46"/>
    </row>
    <row r="291" spans="3:53">
      <c r="C291" s="16" t="s">
        <v>37</v>
      </c>
      <c r="D291" s="17" t="s">
        <v>32</v>
      </c>
      <c r="E291" s="18">
        <f t="shared" si="219"/>
        <v>366379.73308264191</v>
      </c>
      <c r="F291" s="18">
        <f t="shared" si="219"/>
        <v>404849.42891896836</v>
      </c>
      <c r="G291" s="18">
        <f t="shared" si="219"/>
        <v>334505.97384569969</v>
      </c>
      <c r="H291" s="18">
        <f t="shared" si="219"/>
        <v>325041.83313523693</v>
      </c>
      <c r="I291" s="18">
        <f t="shared" si="219"/>
        <v>329260.77436385892</v>
      </c>
      <c r="J291" s="18">
        <f t="shared" si="219"/>
        <v>326680.08245680429</v>
      </c>
      <c r="L291" s="16" t="s">
        <v>37</v>
      </c>
      <c r="M291" s="17" t="s">
        <v>32</v>
      </c>
      <c r="N291" s="18">
        <f t="shared" si="222"/>
        <v>36368.182375777877</v>
      </c>
      <c r="O291" s="18">
        <f t="shared" si="220"/>
        <v>36613.84842410234</v>
      </c>
      <c r="P291" s="18">
        <f t="shared" si="220"/>
        <v>26162.504016526</v>
      </c>
      <c r="Q291" s="18">
        <f t="shared" si="220"/>
        <v>25834.384538762846</v>
      </c>
      <c r="R291" s="18">
        <f t="shared" si="220"/>
        <v>26476.207156197415</v>
      </c>
      <c r="S291" s="18">
        <f t="shared" si="220"/>
        <v>28657.862789098675</v>
      </c>
      <c r="U291" s="16" t="s">
        <v>37</v>
      </c>
      <c r="V291" s="17" t="s">
        <v>32</v>
      </c>
      <c r="W291" s="18">
        <f t="shared" si="223"/>
        <v>402747.91545841977</v>
      </c>
      <c r="X291" s="18">
        <f t="shared" si="221"/>
        <v>441463.27734307072</v>
      </c>
      <c r="Y291" s="18">
        <f t="shared" si="221"/>
        <v>360668.47786222567</v>
      </c>
      <c r="Z291" s="18">
        <f t="shared" si="221"/>
        <v>350876.21767399978</v>
      </c>
      <c r="AA291" s="18">
        <f t="shared" si="221"/>
        <v>355736.98152005632</v>
      </c>
      <c r="AB291" s="18">
        <f t="shared" si="221"/>
        <v>355337.94524590299</v>
      </c>
      <c r="AC291" s="19"/>
      <c r="AM291" s="46"/>
      <c r="AN291" s="46"/>
      <c r="AO291" s="46"/>
      <c r="AP291" s="46"/>
      <c r="AQ291" s="46"/>
      <c r="AR291" s="46"/>
      <c r="AS291" s="46"/>
    </row>
    <row r="292" spans="3:53">
      <c r="C292" s="16" t="s">
        <v>38</v>
      </c>
      <c r="D292" s="17" t="s">
        <v>32</v>
      </c>
      <c r="E292" s="18">
        <f t="shared" si="219"/>
        <v>94594.981624353997</v>
      </c>
      <c r="F292" s="18">
        <f t="shared" si="219"/>
        <v>94967.485369381786</v>
      </c>
      <c r="G292" s="18">
        <f t="shared" si="219"/>
        <v>94334.445332209492</v>
      </c>
      <c r="H292" s="18">
        <f t="shared" si="219"/>
        <v>94507.650207173239</v>
      </c>
      <c r="I292" s="18">
        <f t="shared" si="219"/>
        <v>86009.542583502203</v>
      </c>
      <c r="J292" s="18">
        <f t="shared" si="219"/>
        <v>90398.194142347711</v>
      </c>
      <c r="L292" s="16" t="s">
        <v>38</v>
      </c>
      <c r="M292" s="17" t="s">
        <v>32</v>
      </c>
      <c r="N292" s="18">
        <f t="shared" si="222"/>
        <v>30128.244833075416</v>
      </c>
      <c r="O292" s="18">
        <f t="shared" si="220"/>
        <v>30201.190147028996</v>
      </c>
      <c r="P292" s="18">
        <f t="shared" si="220"/>
        <v>28929.748807593398</v>
      </c>
      <c r="Q292" s="18">
        <f t="shared" si="220"/>
        <v>28849.413380544389</v>
      </c>
      <c r="R292" s="18">
        <f t="shared" si="220"/>
        <v>22889.677372652146</v>
      </c>
      <c r="S292" s="18">
        <f t="shared" si="220"/>
        <v>23257.409586268583</v>
      </c>
      <c r="U292" s="16" t="s">
        <v>38</v>
      </c>
      <c r="V292" s="17" t="s">
        <v>32</v>
      </c>
      <c r="W292" s="18">
        <f t="shared" si="223"/>
        <v>124723.22645742941</v>
      </c>
      <c r="X292" s="18">
        <f t="shared" si="221"/>
        <v>125168.67551641079</v>
      </c>
      <c r="Y292" s="18">
        <f t="shared" si="221"/>
        <v>123264.19413980289</v>
      </c>
      <c r="Z292" s="18">
        <f t="shared" si="221"/>
        <v>123357.06358771762</v>
      </c>
      <c r="AA292" s="18">
        <f t="shared" si="221"/>
        <v>108899.21995615435</v>
      </c>
      <c r="AB292" s="18">
        <f t="shared" si="221"/>
        <v>113655.60372861629</v>
      </c>
      <c r="AC292" s="19"/>
      <c r="AM292" s="46"/>
      <c r="AN292" s="46"/>
      <c r="AO292" s="46"/>
      <c r="AP292" s="46"/>
      <c r="AQ292" s="46"/>
      <c r="AR292" s="46"/>
      <c r="AS292" s="46"/>
    </row>
    <row r="293" spans="3:53">
      <c r="C293" s="16" t="s">
        <v>39</v>
      </c>
      <c r="D293" s="17" t="s">
        <v>32</v>
      </c>
      <c r="E293" s="18">
        <f t="shared" si="219"/>
        <v>52443.532405113365</v>
      </c>
      <c r="F293" s="18">
        <f t="shared" si="219"/>
        <v>53668.199099358528</v>
      </c>
      <c r="G293" s="18">
        <f t="shared" si="219"/>
        <v>57877.89964803456</v>
      </c>
      <c r="H293" s="18">
        <f t="shared" si="219"/>
        <v>58700.262176975724</v>
      </c>
      <c r="I293" s="18">
        <f t="shared" si="219"/>
        <v>59215.531329628633</v>
      </c>
      <c r="J293" s="18">
        <f t="shared" si="219"/>
        <v>58201.870800700242</v>
      </c>
      <c r="L293" s="16" t="s">
        <v>39</v>
      </c>
      <c r="M293" s="17" t="s">
        <v>32</v>
      </c>
      <c r="N293" s="18">
        <f t="shared" si="222"/>
        <v>27769.072280381271</v>
      </c>
      <c r="O293" s="18">
        <f t="shared" si="220"/>
        <v>29557.155989437662</v>
      </c>
      <c r="P293" s="18">
        <f t="shared" si="220"/>
        <v>30083.020753387511</v>
      </c>
      <c r="Q293" s="18">
        <f t="shared" si="220"/>
        <v>28806.465023492365</v>
      </c>
      <c r="R293" s="18">
        <f t="shared" si="220"/>
        <v>28724.283555754169</v>
      </c>
      <c r="S293" s="18">
        <f t="shared" si="220"/>
        <v>28807.296243578006</v>
      </c>
      <c r="U293" s="16" t="s">
        <v>39</v>
      </c>
      <c r="V293" s="17" t="s">
        <v>32</v>
      </c>
      <c r="W293" s="18">
        <f t="shared" si="223"/>
        <v>80212.604685494633</v>
      </c>
      <c r="X293" s="18">
        <f t="shared" si="221"/>
        <v>83225.35508879619</v>
      </c>
      <c r="Y293" s="18">
        <f t="shared" si="221"/>
        <v>87960.920401422074</v>
      </c>
      <c r="Z293" s="18">
        <f t="shared" si="221"/>
        <v>87506.727200468085</v>
      </c>
      <c r="AA293" s="18">
        <f t="shared" si="221"/>
        <v>87939.814885382802</v>
      </c>
      <c r="AB293" s="18">
        <f t="shared" si="221"/>
        <v>87009.167044278249</v>
      </c>
      <c r="AC293" s="19"/>
      <c r="AM293" s="46"/>
      <c r="AN293" s="46"/>
      <c r="AO293" s="46"/>
      <c r="AP293" s="46"/>
      <c r="AQ293" s="46"/>
      <c r="AR293" s="46"/>
      <c r="AS293" s="46"/>
    </row>
    <row r="294" spans="3:53">
      <c r="C294" s="23" t="s">
        <v>40</v>
      </c>
      <c r="D294" s="17" t="str">
        <f>D273</f>
        <v>kt CO2e</v>
      </c>
      <c r="E294" s="24">
        <f>SUM(E286:E293)</f>
        <v>5347150.2245908985</v>
      </c>
      <c r="F294" s="24">
        <f t="shared" ref="F294:J294" si="224">SUM(F286:F293)</f>
        <v>5499004.9281495698</v>
      </c>
      <c r="G294" s="24">
        <f t="shared" si="224"/>
        <v>5476347.198335764</v>
      </c>
      <c r="H294" s="24">
        <f t="shared" si="224"/>
        <v>5543671.7761699753</v>
      </c>
      <c r="I294" s="24">
        <f t="shared" si="224"/>
        <v>5545231.1705363542</v>
      </c>
      <c r="J294" s="24">
        <f t="shared" si="224"/>
        <v>5499356.5640854863</v>
      </c>
      <c r="L294" s="23" t="s">
        <v>40</v>
      </c>
      <c r="M294" s="17" t="str">
        <f>M273</f>
        <v>kt CO2e</v>
      </c>
      <c r="N294" s="24">
        <f>SUM(N286:N293)</f>
        <v>412884.84700922738</v>
      </c>
      <c r="O294" s="24">
        <f t="shared" ref="O294" si="225">SUM(O286:O293)</f>
        <v>414366.71842718031</v>
      </c>
      <c r="P294" s="24">
        <f t="shared" ref="P294" si="226">SUM(P286:P293)</f>
        <v>399802.37386401312</v>
      </c>
      <c r="Q294" s="24">
        <f t="shared" ref="Q294" si="227">SUM(Q286:Q293)</f>
        <v>407569.19650025363</v>
      </c>
      <c r="R294" s="24">
        <f t="shared" ref="R294" si="228">SUM(R286:R293)</f>
        <v>401995.64932601986</v>
      </c>
      <c r="S294" s="24">
        <f t="shared" ref="S294" si="229">SUM(S286:S293)</f>
        <v>401904.85131756688</v>
      </c>
      <c r="U294" s="23" t="s">
        <v>40</v>
      </c>
      <c r="V294" s="17" t="s">
        <v>32</v>
      </c>
      <c r="W294" s="24">
        <f>SUM(W286:W293)</f>
        <v>5760035.0716001242</v>
      </c>
      <c r="X294" s="24">
        <f t="shared" ref="X294:AB294" si="230">SUM(X286:X293)</f>
        <v>5913371.646576751</v>
      </c>
      <c r="Y294" s="24">
        <f t="shared" si="230"/>
        <v>5876149.5721997777</v>
      </c>
      <c r="Z294" s="24">
        <f t="shared" si="230"/>
        <v>5951240.9726702301</v>
      </c>
      <c r="AA294" s="24">
        <f t="shared" si="230"/>
        <v>5947226.8198623741</v>
      </c>
      <c r="AB294" s="24">
        <f t="shared" si="230"/>
        <v>5901261.4154030541</v>
      </c>
      <c r="AC294" s="25"/>
      <c r="AM294" s="47"/>
      <c r="AN294" s="47"/>
      <c r="AO294" s="47"/>
      <c r="AP294" s="47"/>
      <c r="AQ294" s="47"/>
      <c r="AR294" s="47"/>
      <c r="AS294" s="47"/>
    </row>
    <row r="295" spans="3:53">
      <c r="C295" s="26"/>
      <c r="D295" s="26"/>
      <c r="E295" s="26"/>
      <c r="F295" s="57"/>
      <c r="G295" s="57"/>
      <c r="H295" s="57"/>
      <c r="I295" s="57"/>
      <c r="J295" s="57"/>
    </row>
    <row r="296" spans="3:53">
      <c r="C296" s="9" t="s">
        <v>54</v>
      </c>
      <c r="D296" s="9"/>
      <c r="E296" s="9"/>
      <c r="F296" s="9"/>
      <c r="G296" s="9"/>
      <c r="H296" s="9"/>
      <c r="I296" s="9"/>
      <c r="J296" s="9"/>
    </row>
    <row r="297" spans="3:53">
      <c r="C297" s="60" t="s">
        <v>59</v>
      </c>
      <c r="D297" s="60" t="s">
        <v>11</v>
      </c>
      <c r="E297" s="61">
        <v>2020</v>
      </c>
      <c r="F297" s="61">
        <v>2021</v>
      </c>
      <c r="G297" s="61">
        <v>2022</v>
      </c>
      <c r="H297" s="61">
        <v>2023</v>
      </c>
      <c r="I297" s="61">
        <v>2024</v>
      </c>
      <c r="J297" s="61">
        <v>2025</v>
      </c>
    </row>
    <row r="298" spans="3:53">
      <c r="C298" s="23" t="s">
        <v>40</v>
      </c>
      <c r="D298" s="17" t="s">
        <v>32</v>
      </c>
      <c r="E298" s="58">
        <v>908390.41339808295</v>
      </c>
      <c r="F298" s="58">
        <v>951116.50700214203</v>
      </c>
      <c r="G298" s="58">
        <v>981705.20734513388</v>
      </c>
      <c r="H298" s="58">
        <v>985889.37922972371</v>
      </c>
      <c r="I298" s="58">
        <v>997383.11841188767</v>
      </c>
      <c r="J298" s="58">
        <v>985565.79627761559</v>
      </c>
    </row>
    <row r="299" spans="3:53">
      <c r="X299" s="59"/>
    </row>
    <row r="300" spans="3:53">
      <c r="C300" s="9" t="s">
        <v>55</v>
      </c>
      <c r="D300" s="9"/>
      <c r="E300" s="9"/>
      <c r="F300" s="9"/>
      <c r="G300" s="9"/>
      <c r="H300" s="9"/>
      <c r="I300" s="9"/>
      <c r="J300" s="9"/>
    </row>
    <row r="301" spans="3:53">
      <c r="C301" s="60" t="s">
        <v>59</v>
      </c>
      <c r="D301" s="60" t="s">
        <v>11</v>
      </c>
      <c r="E301" s="61">
        <v>2020</v>
      </c>
      <c r="F301" s="61">
        <v>2021</v>
      </c>
      <c r="G301" s="61">
        <v>2022</v>
      </c>
      <c r="H301" s="61">
        <v>2023</v>
      </c>
      <c r="I301" s="61">
        <v>2024</v>
      </c>
      <c r="J301" s="61">
        <v>2025</v>
      </c>
    </row>
    <row r="302" spans="3:53">
      <c r="C302" s="23" t="s">
        <v>40</v>
      </c>
      <c r="D302" s="17" t="s">
        <v>32</v>
      </c>
      <c r="E302" s="58">
        <v>285168.52154419094</v>
      </c>
      <c r="F302" s="58">
        <v>281365.47752972675</v>
      </c>
      <c r="G302" s="58">
        <v>276779.86497313756</v>
      </c>
      <c r="H302" s="58">
        <v>270170.98573545238</v>
      </c>
      <c r="I302" s="58">
        <v>277622.88132571056</v>
      </c>
      <c r="J302" s="58">
        <v>278468.40030218568</v>
      </c>
    </row>
  </sheetData>
  <pageMargins left="0.7" right="0.7" top="0.75" bottom="0.75" header="0.3" footer="0.3"/>
  <pageSetup paperSize="9" orientation="portrait" r:id="rId1"/>
  <ignoredErrors>
    <ignoredError sqref="AO276:AT276"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4A392-C1C5-4A1E-BC05-34FB5B7081DF}">
  <dimension ref="C2:M21"/>
  <sheetViews>
    <sheetView showGridLines="0" workbookViewId="0">
      <selection activeCell="C27" sqref="C27"/>
    </sheetView>
  </sheetViews>
  <sheetFormatPr defaultRowHeight="10.199999999999999"/>
  <cols>
    <col min="1" max="2" width="3.33203125" customWidth="1"/>
    <col min="3" max="3" width="52.6640625" customWidth="1"/>
    <col min="4" max="6" width="44.33203125" customWidth="1"/>
    <col min="7" max="7" width="31.796875" customWidth="1"/>
    <col min="8" max="8" width="17.1328125" customWidth="1"/>
    <col min="9" max="9" width="50.46484375" customWidth="1"/>
    <col min="10" max="10" width="40.6640625" customWidth="1"/>
    <col min="12" max="12" width="35" customWidth="1"/>
    <col min="13" max="13" width="17.6640625" customWidth="1"/>
  </cols>
  <sheetData>
    <row r="2" spans="3:13" ht="14.7" thickBot="1">
      <c r="C2" s="4" t="s">
        <v>61</v>
      </c>
      <c r="D2" s="4"/>
      <c r="E2" s="4"/>
      <c r="F2" s="4"/>
      <c r="G2" s="4"/>
      <c r="H2" s="4"/>
      <c r="I2" s="4"/>
      <c r="J2" s="4"/>
    </row>
    <row r="3" spans="3:13" ht="14.4">
      <c r="C3" s="7" t="s">
        <v>62</v>
      </c>
    </row>
    <row r="4" spans="3:13" ht="14.4">
      <c r="C4" s="7" t="s">
        <v>76</v>
      </c>
    </row>
    <row r="5" spans="3:13" ht="14.4">
      <c r="C5" s="7"/>
    </row>
    <row r="6" spans="3:13" ht="14.4">
      <c r="C6" s="8" t="s">
        <v>56</v>
      </c>
      <c r="D6" s="68" t="s">
        <v>64</v>
      </c>
      <c r="E6" s="68" t="s">
        <v>73</v>
      </c>
      <c r="F6" s="68" t="s">
        <v>74</v>
      </c>
      <c r="G6" s="68" t="s">
        <v>65</v>
      </c>
      <c r="H6" s="68"/>
      <c r="I6" s="68" t="s">
        <v>75</v>
      </c>
      <c r="J6" s="68" t="s">
        <v>77</v>
      </c>
    </row>
    <row r="7" spans="3:13" ht="14.4">
      <c r="C7" s="7" t="s">
        <v>63</v>
      </c>
      <c r="D7" s="2">
        <v>15.6398640348088</v>
      </c>
      <c r="E7" s="71"/>
      <c r="F7" s="71"/>
      <c r="G7" s="67" cm="1">
        <f t="array" ref="G7">SUM(D7:F7/$D$15)</f>
        <v>0.29394703762541957</v>
      </c>
      <c r="H7" s="67"/>
      <c r="I7" s="2">
        <v>0.40199564932600002</v>
      </c>
      <c r="J7" s="78">
        <f>I7/D7</f>
        <v>2.5703270081587667E-2</v>
      </c>
      <c r="M7" s="73"/>
    </row>
    <row r="8" spans="3:13" ht="14.4">
      <c r="C8" s="7" t="s">
        <v>66</v>
      </c>
      <c r="D8" s="2">
        <v>8.4415982729946997</v>
      </c>
      <c r="E8" s="71"/>
      <c r="F8" s="71"/>
      <c r="G8" s="67" cm="1">
        <f t="array" ref="G8">SUM(D8:F8/$D$15)</f>
        <v>0.15865756886683735</v>
      </c>
      <c r="H8" s="67"/>
      <c r="I8" s="71"/>
      <c r="J8" s="1"/>
      <c r="M8" s="73"/>
    </row>
    <row r="9" spans="3:13" ht="14.4">
      <c r="C9" s="7" t="s">
        <v>67</v>
      </c>
      <c r="D9" s="2">
        <v>6.2412348341520998</v>
      </c>
      <c r="E9" s="71"/>
      <c r="F9" s="71"/>
      <c r="G9" s="67" cm="1">
        <f t="array" ref="G9">SUM(D9:F9/$D$15)</f>
        <v>0.11730232990136187</v>
      </c>
      <c r="H9" s="67"/>
      <c r="I9" s="71"/>
      <c r="J9" s="1"/>
      <c r="M9" s="73"/>
    </row>
    <row r="10" spans="3:13" ht="14.4">
      <c r="C10" s="7" t="s">
        <v>68</v>
      </c>
      <c r="D10" s="2">
        <v>6.0327679887721004</v>
      </c>
      <c r="E10" s="71"/>
      <c r="F10" s="71"/>
      <c r="G10" s="67" cm="1">
        <f t="array" ref="G10">SUM(D10:F10/$D$15)</f>
        <v>0.11338425161716557</v>
      </c>
      <c r="H10" s="67"/>
      <c r="I10" s="71"/>
      <c r="J10" s="1"/>
      <c r="M10" s="73"/>
    </row>
    <row r="11" spans="3:13" ht="14.4">
      <c r="C11" s="7" t="s">
        <v>69</v>
      </c>
      <c r="D11" s="2">
        <v>5.9533143003016002</v>
      </c>
      <c r="E11" s="71"/>
      <c r="F11" s="71"/>
      <c r="G11" s="67" cm="1">
        <f t="array" ref="G11">SUM(D11:F11/$D$15)</f>
        <v>0.11189094091431444</v>
      </c>
      <c r="H11" s="67"/>
      <c r="I11" s="71"/>
      <c r="J11" s="1"/>
      <c r="M11" s="73"/>
    </row>
    <row r="12" spans="3:13" ht="14.4">
      <c r="C12" s="7" t="s">
        <v>70</v>
      </c>
      <c r="D12" s="71"/>
      <c r="E12" s="2">
        <v>1.4357857688864</v>
      </c>
      <c r="F12" s="2">
        <v>4.1094454016500004</v>
      </c>
      <c r="G12" s="67" cm="1">
        <f t="array" ref="G12">SUM(D12:F12/$D$15)</f>
        <v>0.10422112825913961</v>
      </c>
      <c r="H12" s="67"/>
      <c r="I12" s="71"/>
      <c r="J12" s="1"/>
      <c r="M12" s="77"/>
    </row>
    <row r="13" spans="3:13" ht="14.4">
      <c r="C13" s="7" t="s">
        <v>71</v>
      </c>
      <c r="D13" s="2">
        <v>3.5495132146905002</v>
      </c>
      <c r="E13" s="71"/>
      <c r="F13" s="71"/>
      <c r="G13" s="67" cm="1">
        <f t="array" ref="G13">SUM(D13:F13/$D$15)</f>
        <v>6.6712146099760367E-2</v>
      </c>
      <c r="H13" s="67"/>
      <c r="I13" s="71"/>
      <c r="J13" s="1"/>
      <c r="M13" s="73"/>
    </row>
    <row r="14" spans="3:13" ht="14.4">
      <c r="C14" s="7" t="s">
        <v>72</v>
      </c>
      <c r="D14" s="2">
        <v>1.8028774496033999</v>
      </c>
      <c r="E14" s="71"/>
      <c r="F14" s="71"/>
      <c r="G14" s="67" cm="1">
        <f t="array" ref="G14">SUM(D14:F14/$D$15)</f>
        <v>3.3884596716001428E-2</v>
      </c>
      <c r="H14" s="67"/>
      <c r="I14" s="71"/>
      <c r="J14" s="1"/>
      <c r="M14" s="73"/>
    </row>
    <row r="15" spans="3:13" ht="14.7" thickBot="1">
      <c r="C15" s="69" t="s">
        <v>40</v>
      </c>
      <c r="D15" s="70">
        <f>SUM(D7:F14)</f>
        <v>53.20640126585959</v>
      </c>
      <c r="E15" s="70"/>
      <c r="F15" s="70"/>
      <c r="G15" s="70"/>
      <c r="H15" s="70"/>
      <c r="I15" s="70"/>
      <c r="J15" s="70"/>
    </row>
    <row r="16" spans="3:13" ht="10.5" thickTop="1">
      <c r="E16" s="74"/>
      <c r="F16" s="74"/>
      <c r="G16" s="76"/>
      <c r="H16" s="76"/>
      <c r="I16" s="74"/>
      <c r="J16" s="74"/>
    </row>
    <row r="17" spans="5:6">
      <c r="E17" s="74"/>
      <c r="F17" s="74"/>
    </row>
    <row r="18" spans="5:6">
      <c r="E18" s="72"/>
      <c r="F18" s="75"/>
    </row>
    <row r="19" spans="5:6">
      <c r="E19" s="74"/>
      <c r="F19" s="75"/>
    </row>
    <row r="21" spans="5:6">
      <c r="F21" s="7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5BA12D314A9949BE9CBC0E7CB6C994" ma:contentTypeVersion="13" ma:contentTypeDescription="Create a new document." ma:contentTypeScope="" ma:versionID="581775e93672e45263989736b2bac775">
  <xsd:schema xmlns:xsd="http://www.w3.org/2001/XMLSchema" xmlns:xs="http://www.w3.org/2001/XMLSchema" xmlns:p="http://schemas.microsoft.com/office/2006/metadata/properties" xmlns:ns2="36b720fb-722f-40f7-a51a-4133b1e376fe" xmlns:ns3="1d4910cd-0a50-4dbd-bc21-75a5e195189a" targetNamespace="http://schemas.microsoft.com/office/2006/metadata/properties" ma:root="true" ma:fieldsID="89557df0fd38c0337022435fd9b3feaf" ns2:_="" ns3:_="">
    <xsd:import namespace="36b720fb-722f-40f7-a51a-4133b1e376fe"/>
    <xsd:import namespace="1d4910cd-0a50-4dbd-bc21-75a5e19518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b720fb-722f-40f7-a51a-4133b1e376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e7034ae-9472-4cd5-b183-8d4d20959f5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d4910cd-0a50-4dbd-bc21-75a5e195189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63fc3e1-84fa-480b-8203-7ddb6705fb76}" ma:internalName="TaxCatchAll" ma:showField="CatchAllData" ma:web="1d4910cd-0a50-4dbd-bc21-75a5e19518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d4910cd-0a50-4dbd-bc21-75a5e195189a" xsi:nil="true"/>
    <lcf76f155ced4ddcb4097134ff3c332f xmlns="36b720fb-722f-40f7-a51a-4133b1e376f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427F8C9-C9D5-4785-89AB-49F41BEF8F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b720fb-722f-40f7-a51a-4133b1e376fe"/>
    <ds:schemaRef ds:uri="1d4910cd-0a50-4dbd-bc21-75a5e19518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2222B94-D0B7-4873-B102-BE49FA94E6C4}">
  <ds:schemaRefs>
    <ds:schemaRef ds:uri="http://schemas.microsoft.com/sharepoint/v3/contenttype/forms"/>
  </ds:schemaRefs>
</ds:datastoreItem>
</file>

<file path=customXml/itemProps3.xml><?xml version="1.0" encoding="utf-8"?>
<ds:datastoreItem xmlns:ds="http://schemas.openxmlformats.org/officeDocument/2006/customXml" ds:itemID="{7ADCCE12-1B85-4EAA-939C-9612EB98667B}">
  <ds:schemaRefs>
    <ds:schemaRef ds:uri="http://schemas.microsoft.com/office/2006/metadata/properties"/>
    <ds:schemaRef ds:uri="1d4910cd-0a50-4dbd-bc21-75a5e195189a"/>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http://purl.org/dc/dcmitype/"/>
    <ds:schemaRef ds:uri="36b720fb-722f-40f7-a51a-4133b1e376fe"/>
    <ds:schemaRef ds:uri="http://www.w3.org/XML/1998/namespace"/>
    <ds:schemaRef ds:uri="http://purl.org/dc/terms/"/>
  </ds:schemaRefs>
</ds:datastoreItem>
</file>

<file path=docMetadata/LabelInfo.xml><?xml version="1.0" encoding="utf-8"?>
<clbl:labelList xmlns:clbl="http://schemas.microsoft.com/office/2020/mipLabelMetadata">
  <clbl:label id="{3b07dc1f-22e7-4be1-ac66-a88bf3550222}" enabled="0" method="" siteId="{3b07dc1f-22e7-4be1-ac66-a88bf3550222}" removed="1"/>
  <clbl:label id="{ae87f501-3025-4ed4-90da-080ba37c525d}" enabled="0" method="" siteId="{ae87f501-3025-4ed4-90da-080ba37c525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Dataset</vt:lpstr>
      <vt:lpstr>Cross Sector Emissions</vt:lpstr>
    </vt:vector>
  </TitlesOfParts>
  <Manager/>
  <Company>Wood Mackenzie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WoodMac - ICMM - Global Mining Sector Emissions Analysis</dc:title>
  <dc:subject/>
  <dc:creator>Emma Gagen</dc:creator>
  <cp:keywords/>
  <dc:description/>
  <cp:lastModifiedBy>Sally Innis</cp:lastModifiedBy>
  <cp:revision/>
  <dcterms:created xsi:type="dcterms:W3CDTF">2001-06-13T10:04:06Z</dcterms:created>
  <dcterms:modified xsi:type="dcterms:W3CDTF">2026-03-09T18:17:39Z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epare4Production">
    <vt:lpwstr>Failed P4P</vt:lpwstr>
  </property>
  <property fmtid="{D5CDD505-2E9C-101B-9397-08002B2CF9AE}" pid="3" name="P4PDate">
    <vt:filetime>2012-06-04T11:45:03Z</vt:filetime>
  </property>
  <property fmtid="{D5CDD505-2E9C-101B-9397-08002B2CF9AE}" pid="4" name="WM_LOGO">
    <vt:lpwstr>WM_VERISK</vt:lpwstr>
  </property>
  <property fmtid="{D5CDD505-2E9C-101B-9397-08002B2CF9AE}" pid="5" name="LOGO Count">
    <vt:lpwstr>0</vt:lpwstr>
  </property>
  <property fmtid="{D5CDD505-2E9C-101B-9397-08002B2CF9AE}" pid="6" name="LOGO Updated">
    <vt:lpwstr>18</vt:lpwstr>
  </property>
  <property fmtid="{D5CDD505-2E9C-101B-9397-08002B2CF9AE}" pid="7" name="WMDisclaimerHASH">
    <vt:lpwstr>NqxW0</vt:lpwstr>
  </property>
  <property fmtid="{D5CDD505-2E9C-101B-9397-08002B2CF9AE}" pid="8" name="DisclaimerAdded">
    <vt:filetime>2019-03-29T13:23:29Z</vt:filetime>
  </property>
  <property fmtid="{D5CDD505-2E9C-101B-9397-08002B2CF9AE}" pid="9" name="IconOverlay">
    <vt:lpwstr/>
  </property>
  <property fmtid="{D5CDD505-2E9C-101B-9397-08002B2CF9AE}" pid="10" name="lcf76f155ced4ddcb4097134ff3c332f">
    <vt:lpwstr/>
  </property>
  <property fmtid="{D5CDD505-2E9C-101B-9397-08002B2CF9AE}" pid="11" name="Link">
    <vt:lpwstr>, </vt:lpwstr>
  </property>
  <property fmtid="{D5CDD505-2E9C-101B-9397-08002B2CF9AE}" pid="12" name="TaxCatchAll">
    <vt:lpwstr/>
  </property>
  <property fmtid="{D5CDD505-2E9C-101B-9397-08002B2CF9AE}" pid="13" name="Owner">
    <vt:lpwstr/>
  </property>
  <property fmtid="{D5CDD505-2E9C-101B-9397-08002B2CF9AE}" pid="14" name="ContentTypeId">
    <vt:lpwstr>0x010100625BA12D314A9949BE9CBC0E7CB6C994</vt:lpwstr>
  </property>
  <property fmtid="{D5CDD505-2E9C-101B-9397-08002B2CF9AE}" pid="15" name="MediaServiceImageTags">
    <vt:lpwstr/>
  </property>
</Properties>
</file>